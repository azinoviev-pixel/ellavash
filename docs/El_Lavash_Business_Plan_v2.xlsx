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Об_этой_версии" sheetId="1" state="visible" r:id="rId3"/>
    <sheet name="13_Dashboard" sheetId="2" state="visible" r:id="rId4"/>
    <sheet name="01_Inputs" sheetId="3" state="visible" r:id="rId5"/>
    <sheet name="02_Unit Economics" sheetId="4" state="visible" r:id="rId6"/>
    <sheet name="03_Sales Mix" sheetId="5" state="visible" r:id="rId7"/>
    <sheet name="04_Production Ramp" sheetId="6" state="visible" r:id="rId8"/>
    <sheet name="05_OPEX Monthly" sheetId="7" state="visible" r:id="rId9"/>
    <sheet name="06_CAPEX" sheetId="8" state="visible" r:id="rId10"/>
    <sheet name="07_PL Пессимизм" sheetId="9" state="visible" r:id="rId11"/>
    <sheet name="08_PL Реализм" sheetId="10" state="visible" r:id="rId12"/>
    <sheet name="09_PL Суперопт" sheetId="11" state="visible" r:id="rId13"/>
    <sheet name="10_Break-even" sheetId="12" state="visible" r:id="rId14"/>
    <sheet name="11_Cash Flow" sheetId="13" state="visible" r:id="rId15"/>
    <sheet name="12_Sensitivity" sheetId="14" state="visible" r:id="rId16"/>
    <sheet name="14_Source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<sst xmlns="http://schemas.openxmlformats.org/spreadsheetml/2006/main" count="531" uniqueCount="377">
  <si>
    <t xml:space="preserve">Бизнес-план El Lavash</t>
  </si>
  <si>
    <t xml:space="preserve">Реалистичный сценарий — команда из 3 (Элен + 2 сотрудника), малое артизан-производство.</t>
  </si>
  <si>
    <t xml:space="preserve">Ключевые параметры:</t>
  </si>
  <si>
    <t xml:space="preserve">Производство месяц 1: 200 кг (8 кг/день × 26 дней)</t>
  </si>
  <si>
    <t xml:space="preserve">Производство месяц 12: 500 кг (19 кг/день × 26 дней)</t>
  </si>
  <si>
    <t xml:space="preserve">Опт €5,50/кг, розница €8,00/кг (диапазон €7-9), себестоимость €1,55/кг</t>
  </si>
  <si>
    <t xml:space="preserve">OpEx ~€1000-1500/мес (аренда €800, газ/комм €200, прочее)</t>
  </si>
  <si>
    <t xml:space="preserve">Год 1 выручка ориентир: €20-30 тыс</t>
  </si>
  <si>
    <t xml:space="preserve">Точка безубыточности: 12-20 кг/день</t>
  </si>
  <si>
    <t xml:space="preserve">Команда: Элен + 2 сотрудника (Украина, опыт с полуфабрикатами)</t>
  </si>
  <si>
    <t xml:space="preserve">Каналы года 1:</t>
  </si>
  <si>
    <t xml:space="preserve">Локальная розница Льорет (Наш магазин, армянские ресторанчики — уже договорено)</t>
  </si>
  <si>
    <t xml:space="preserve">Кебабные и халяль-карникерии Льорета (личный обход с образцами)</t>
  </si>
  <si>
    <t xml:space="preserve">Прямые WhatsApp / Instagram заказы</t>
  </si>
  <si>
    <t xml:space="preserve">Сервисы доставки (Glovo / Uber Eats) — месяц 2-3</t>
  </si>
  <si>
    <t xml:space="preserve">Каналы НЕ для года 1:</t>
  </si>
  <si>
    <t xml:space="preserve">Сетевой ритейл (Bonpreu / Veritas / Caprabo) — цикл 6-12 мес, без референции</t>
  </si>
  <si>
    <t xml:space="preserve">Дистрибьюторы HoReCa (Bidfood / Transgourmet) — года 2+</t>
  </si>
  <si>
    <t xml:space="preserve">Институциональные тендеры (школы / госзаказ) — года 2+</t>
  </si>
  <si>
    <t xml:space="preserve">Отели 4-5★ — года 2+</t>
  </si>
  <si>
    <t xml:space="preserve">Откройте в Excel один раз чтобы формулы пересчитались.</t>
  </si>
  <si>
    <t xml:space="preserve">DASHBOARD — El Lavash Business Plan</t>
  </si>
  <si>
    <t xml:space="preserve">Метрика</t>
  </si>
  <si>
    <t xml:space="preserve">Пессимизм</t>
  </si>
  <si>
    <t xml:space="preserve">Реализм</t>
  </si>
  <si>
    <t xml:space="preserve">Супер-опт</t>
  </si>
  <si>
    <t xml:space="preserve">Источник</t>
  </si>
  <si>
    <t xml:space="preserve">Комментарий</t>
  </si>
  <si>
    <t xml:space="preserve">Объём год 1 (кг)</t>
  </si>
  <si>
    <t xml:space="preserve">Production Ramp</t>
  </si>
  <si>
    <t xml:space="preserve">Сумма помесячных объёмов</t>
  </si>
  <si>
    <t xml:space="preserve">Ср.цена €/кг</t>
  </si>
  <si>
    <t xml:space="preserve">Sales Mix</t>
  </si>
  <si>
    <t xml:space="preserve">Взвешенная по каналам</t>
  </si>
  <si>
    <t xml:space="preserve">Выручка год 1 (€)</t>
  </si>
  <si>
    <t xml:space="preserve">P&amp;L</t>
  </si>
  <si>
    <t xml:space="preserve">Сумма помесячная</t>
  </si>
  <si>
    <t xml:space="preserve">EBITDA год 1 (€)</t>
  </si>
  <si>
    <t xml:space="preserve">Прибыль до амортизации</t>
  </si>
  <si>
    <t xml:space="preserve">EBITDA margin %</t>
  </si>
  <si>
    <t xml:space="preserve">Calc</t>
  </si>
  <si>
    <t xml:space="preserve">EBITDA / Revenue</t>
  </si>
  <si>
    <t xml:space="preserve">Break-even кг/день</t>
  </si>
  <si>
    <t xml:space="preserve">Break-even</t>
  </si>
  <si>
    <t xml:space="preserve">OPEX / маржа / 26 дней</t>
  </si>
  <si>
    <t xml:space="preserve">CAPEX (старт)</t>
  </si>
  <si>
    <t xml:space="preserve">CAPEX</t>
  </si>
  <si>
    <t xml:space="preserve">Все стартовые расходы</t>
  </si>
  <si>
    <t xml:space="preserve">ВАЖНО:</t>
  </si>
  <si>
    <t xml:space="preserve">1. Все цифры рассчитаны формулами — меняй Inputs или Production Ramp, всё пересчитается.</t>
  </si>
  <si>
    <t xml:space="preserve">2. Объёмы 4 400+ кг/мес в Реализме могут быть оптимистичными для 1 спирального тестомеса + 2 работника.</t>
  </si>
  <si>
    <t xml:space="preserve">3. Без подтверждения мощности печи Helen — это математическая модель, не операционный план.</t>
  </si>
  <si>
    <t xml:space="preserve">4. Halal-сертификат добавит +30% объёма (марокканский канал) — отражено в Супер-опт.</t>
  </si>
  <si>
    <t xml:space="preserve">5. Каждая цифра в Inputs имеет источник в колонке E. Проверяй там.</t>
  </si>
  <si>
    <t xml:space="preserve">ВХОДНЫЕ ПАРАМЕТРЫ — ИСТОЧНИКИ И ЦЕНЫ</t>
  </si>
  <si>
    <t xml:space="preserve">#</t>
  </si>
  <si>
    <t xml:space="preserve">Параметр</t>
  </si>
  <si>
    <t xml:space="preserve">Значение</t>
  </si>
  <si>
    <t xml:space="preserve">Ед.</t>
  </si>
  <si>
    <t xml:space="preserve">Статус</t>
  </si>
  <si>
    <t xml:space="preserve">Мука W-260 опт</t>
  </si>
  <si>
    <t xml:space="preserve">€/кг</t>
  </si>
  <si>
    <t xml:space="preserve">B-Grup / Selina Wamucii</t>
  </si>
  <si>
    <t xml:space="preserve">estimate</t>
  </si>
  <si>
    <t xml:space="preserve">Дрожжи свежие опт</t>
  </si>
  <si>
    <t xml:space="preserve">Codipán / AB Mauri</t>
  </si>
  <si>
    <t xml:space="preserve">Соль промышленная</t>
  </si>
  <si>
    <t xml:space="preserve">Sal Costa B2B</t>
  </si>
  <si>
    <t xml:space="preserve">Вода питьевая</t>
  </si>
  <si>
    <t xml:space="preserve">€/л</t>
  </si>
  <si>
    <t xml:space="preserve">Aqualia Льорет</t>
  </si>
  <si>
    <t xml:space="preserve">Электричество PYME</t>
  </si>
  <si>
    <t xml:space="preserve">€/кВт·ч</t>
  </si>
  <si>
    <t xml:space="preserve">Roams / Octopus 2026</t>
  </si>
  <si>
    <t xml:space="preserve">verified</t>
  </si>
  <si>
    <t xml:space="preserve">Электр. на 1 кг лаваша</t>
  </si>
  <si>
    <t xml:space="preserve">кВт·ч/кг</t>
  </si>
  <si>
    <t xml:space="preserve">Maeswell обrador baseline</t>
  </si>
  <si>
    <t xml:space="preserve">Газ природный PYME</t>
  </si>
  <si>
    <t xml:space="preserve">TodoLuzYGas май 2026</t>
  </si>
  <si>
    <t xml:space="preserve">Пакет OPP 400 г</t>
  </si>
  <si>
    <t xml:space="preserve">€/шт</t>
  </si>
  <si>
    <t xml:space="preserve">B2B типография Каталония</t>
  </si>
  <si>
    <t xml:space="preserve">Этикетка с EAN/печатью</t>
  </si>
  <si>
    <t xml:space="preserve">B2B Каталония</t>
  </si>
  <si>
    <t xml:space="preserve">SMI 2026 brutto/мес</t>
  </si>
  <si>
    <t xml:space="preserve">€</t>
  </si>
  <si>
    <t xml:space="preserve">BOE-A-2026-3815 / La Moncloa</t>
  </si>
  <si>
    <t xml:space="preserve">Соц.отчисления работодателя</t>
  </si>
  <si>
    <t xml:space="preserve">доля от gross</t>
  </si>
  <si>
    <t xml:space="preserve">Seg.Social 2026</t>
  </si>
  <si>
    <t xml:space="preserve">ЗП пекаря gross/мес</t>
  </si>
  <si>
    <t xml:space="preserve">Convenio + market</t>
  </si>
  <si>
    <t xml:space="preserve">ЗП помощника gross/мес</t>
  </si>
  <si>
    <t xml:space="preserve">SMI базовый</t>
  </si>
  <si>
    <t xml:space="preserve">ЗП Элен (директор)/мес</t>
  </si>
  <si>
    <t xml:space="preserve">Старт скромная</t>
  </si>
  <si>
    <t xml:space="preserve">IVA на лаваш</t>
  </si>
  <si>
    <t xml:space="preserve">доля</t>
  </si>
  <si>
    <t xml:space="preserve">BOE-A-2025-3950</t>
  </si>
  <si>
    <t xml:space="preserve">Cuota autónomo tarifa plana</t>
  </si>
  <si>
    <t xml:space="preserve">€/мес год 1</t>
  </si>
  <si>
    <t xml:space="preserve">Seg.Social tarifa plana</t>
  </si>
  <si>
    <t xml:space="preserve">Asesoría fiscal</t>
  </si>
  <si>
    <t xml:space="preserve">€/мес</t>
  </si>
  <si>
    <t xml:space="preserve">Стандарт SL Каталония</t>
  </si>
  <si>
    <t xml:space="preserve">Internet + телефон</t>
  </si>
  <si>
    <t xml:space="preserve">Movistar PYME</t>
  </si>
  <si>
    <t xml:space="preserve">Страхование RC</t>
  </si>
  <si>
    <t xml:space="preserve">Mapfre PYME</t>
  </si>
  <si>
    <t xml:space="preserve">SMM-менеджер</t>
  </si>
  <si>
    <t xml:space="preserve">Local Каталония</t>
  </si>
  <si>
    <t xml:space="preserve">Логистика (дизель+авто)</t>
  </si>
  <si>
    <t xml:space="preserve">~50 км/день dispatch</t>
  </si>
  <si>
    <t xml:space="preserve">Расходники hygiene</t>
  </si>
  <si>
    <t xml:space="preserve">PYME стандарт</t>
  </si>
  <si>
    <t xml:space="preserve">Амортизация помещения</t>
  </si>
  <si>
    <t xml:space="preserve">Стандарт SL</t>
  </si>
  <si>
    <t xml:space="preserve">Прочие (банк, услуги)</t>
  </si>
  <si>
    <t xml:space="preserve">PYME резерв</t>
  </si>
  <si>
    <t xml:space="preserve">Constitución SL</t>
  </si>
  <si>
    <t xml:space="preserve">Notario+Registro</t>
  </si>
  <si>
    <t xml:space="preserve">RSIPAC регистрация</t>
  </si>
  <si>
    <t xml:space="preserve">Gencat Salut Pública</t>
  </si>
  <si>
    <t xml:space="preserve">RGSEAA + Licencia Llloret</t>
  </si>
  <si>
    <t xml:space="preserve">AESAN + Ajunt.Lloret</t>
  </si>
  <si>
    <t xml:space="preserve">HACCP консультант (старт)</t>
  </si>
  <si>
    <t xml:space="preserve">Ambialia от 290+</t>
  </si>
  <si>
    <t xml:space="preserve">EAN регистрация GS1</t>
  </si>
  <si>
    <t xml:space="preserve">GS1 Spain</t>
  </si>
  <si>
    <t xml:space="preserve">Halal-сертификат (если)</t>
  </si>
  <si>
    <t xml:space="preserve">Instituto Halal presupuesto</t>
  </si>
  <si>
    <t xml:space="preserve">Дизайн лого + упаковки</t>
  </si>
  <si>
    <t xml:space="preserve">Фрилансер Каталония</t>
  </si>
  <si>
    <t xml:space="preserve">Печать упаковки старт партия</t>
  </si>
  <si>
    <t xml:space="preserve">B2B типография</t>
  </si>
  <si>
    <t xml:space="preserve">Food photography сессия</t>
  </si>
  <si>
    <t xml:space="preserve">Local Барселона</t>
  </si>
  <si>
    <t xml:space="preserve">Резерв на оборудование</t>
  </si>
  <si>
    <t xml:space="preserve">[estimate]</t>
  </si>
  <si>
    <t xml:space="preserve">Подушка оборотных средств</t>
  </si>
  <si>
    <t xml:space="preserve">2 мес OPEX</t>
  </si>
  <si>
    <t xml:space="preserve">UNIT ECONOMICS — Себестоимость 1 кг лаваша</t>
  </si>
  <si>
    <t xml:space="preserve">Ингредиент / расход</t>
  </si>
  <si>
    <t xml:space="preserve">Расход на 1 кг</t>
  </si>
  <si>
    <t xml:space="preserve">Цена единицы</t>
  </si>
  <si>
    <t xml:space="preserve">Стоимость €/кг</t>
  </si>
  <si>
    <t xml:space="preserve">Источник в Inputs</t>
  </si>
  <si>
    <t xml:space="preserve">Мука</t>
  </si>
  <si>
    <t xml:space="preserve">Дрожжи свежие</t>
  </si>
  <si>
    <t xml:space="preserve">Соль</t>
  </si>
  <si>
    <t xml:space="preserve">Вода (на 0,4 л)</t>
  </si>
  <si>
    <t xml:space="preserve">Электричество</t>
  </si>
  <si>
    <t xml:space="preserve">ИТОГО сырьё+энергия (COGS)</t>
  </si>
  <si>
    <t xml:space="preserve">Упаковка пакет (на 2,5 ед/кг)</t>
  </si>
  <si>
    <t xml:space="preserve">Этикетка (на 2,5 ед/кг)</t>
  </si>
  <si>
    <t xml:space="preserve">Этикетка</t>
  </si>
  <si>
    <t xml:space="preserve">ИТОГО Variable cost (COGS + упак.)</t>
  </si>
  <si>
    <t xml:space="preserve">ЦЕНЫ ПО КАНАЛАМ</t>
  </si>
  <si>
    <t xml:space="preserve">Канал</t>
  </si>
  <si>
    <t xml:space="preserve">Цена €/кг</t>
  </si>
  <si>
    <t xml:space="preserve">Без IVA 4%</t>
  </si>
  <si>
    <t xml:space="preserve">Маржа €/кг</t>
  </si>
  <si>
    <t xml:space="preserve">Маржа %</t>
  </si>
  <si>
    <t xml:space="preserve">Опт-HORECA дистрибьютор</t>
  </si>
  <si>
    <t xml:space="preserve">Розница магазин (русский/халяль)</t>
  </si>
  <si>
    <t xml:space="preserve">Кебаб / ливанский ресторан</t>
  </si>
  <si>
    <t xml:space="preserve">Отель 4-5★ Коста-Брава</t>
  </si>
  <si>
    <t xml:space="preserve">Premium retail (Bonpreu KM0)</t>
  </si>
  <si>
    <t xml:space="preserve">B2C через Glovo / прямая</t>
  </si>
  <si>
    <t xml:space="preserve">МИКС КАНАЛОВ ПРОДАЖ — 3 сценария</t>
  </si>
  <si>
    <t xml:space="preserve">Цена €/кг (Unit Econ)</t>
  </si>
  <si>
    <t xml:space="preserve">Пессимизм %</t>
  </si>
  <si>
    <t xml:space="preserve">Реализм %</t>
  </si>
  <si>
    <t xml:space="preserve">Супероптимизм %</t>
  </si>
  <si>
    <t xml:space="preserve">СУММА %</t>
  </si>
  <si>
    <t xml:space="preserve">Средневзвешенная цена €/кг</t>
  </si>
  <si>
    <t xml:space="preserve">ОБЪЁМ ПРОИЗВОДСТВА — 12 МЕСЯЦЕВ × 3 СЦЕНАРИЯ</t>
  </si>
  <si>
    <t xml:space="preserve">Месяц</t>
  </si>
  <si>
    <t xml:space="preserve">Кг/мес ПЕССИМ</t>
  </si>
  <si>
    <t xml:space="preserve">Кг/мес РЕАЛИЗМ</t>
  </si>
  <si>
    <t xml:space="preserve">Кг/мес СУПЕР-ОПТ</t>
  </si>
  <si>
    <t xml:space="preserve">M1 Setup</t>
  </si>
  <si>
    <t xml:space="preserve">RSIPAC получен, первые продажи</t>
  </si>
  <si>
    <t xml:space="preserve">M2</t>
  </si>
  <si>
    <t xml:space="preserve">Лёлёкат разогрев</t>
  </si>
  <si>
    <t xml:space="preserve">M3</t>
  </si>
  <si>
    <t xml:space="preserve">Льорет full активность</t>
  </si>
  <si>
    <t xml:space="preserve">M4</t>
  </si>
  <si>
    <t xml:space="preserve">Глово/UberEats запущены</t>
  </si>
  <si>
    <t xml:space="preserve">M5 BE-Realism</t>
  </si>
  <si>
    <t xml:space="preserve">Реализм break-even</t>
  </si>
  <si>
    <t xml:space="preserve">M6</t>
  </si>
  <si>
    <t xml:space="preserve">Halal активирован</t>
  </si>
  <si>
    <t xml:space="preserve">M7 Q3</t>
  </si>
  <si>
    <t xml:space="preserve">HORECA контракты</t>
  </si>
  <si>
    <t xml:space="preserve">M8</t>
  </si>
  <si>
    <t xml:space="preserve">Барселона расширение</t>
  </si>
  <si>
    <t xml:space="preserve">M9</t>
  </si>
  <si>
    <t xml:space="preserve">Bonpreu KM0 пилот</t>
  </si>
  <si>
    <t xml:space="preserve">M10</t>
  </si>
  <si>
    <t xml:space="preserve">Отели сезон</t>
  </si>
  <si>
    <t xml:space="preserve">M11</t>
  </si>
  <si>
    <t xml:space="preserve">Стабилизация</t>
  </si>
  <si>
    <t xml:space="preserve">M12</t>
  </si>
  <si>
    <t xml:space="preserve">Готовы к scale</t>
  </si>
  <si>
    <t xml:space="preserve">ИТОГО год 1 (кг)</t>
  </si>
  <si>
    <t xml:space="preserve">В среднем кг/день (6 раб.дн/нед)</t>
  </si>
  <si>
    <t xml:space="preserve">26 раб.дней/мес</t>
  </si>
  <si>
    <t xml:space="preserve">OPEX — Фиксированные ежемесячные расходы</t>
  </si>
  <si>
    <t xml:space="preserve">Статья</t>
  </si>
  <si>
    <t xml:space="preserve">Пессимизм €/мес</t>
  </si>
  <si>
    <t xml:space="preserve">Реализм €/мес</t>
  </si>
  <si>
    <t xml:space="preserve">Супер-опт €/мес</t>
  </si>
  <si>
    <t xml:space="preserve">ЗП Элен (директор)</t>
  </si>
  <si>
    <t xml:space="preserve">ЗП пекарь 1</t>
  </si>
  <si>
    <t xml:space="preserve">ЗП помощник 1</t>
  </si>
  <si>
    <t xml:space="preserve">Cuota autónomo Элен</t>
  </si>
  <si>
    <t xml:space="preserve">470</t>
  </si>
  <si>
    <t xml:space="preserve">550</t>
  </si>
  <si>
    <t xml:space="preserve">650</t>
  </si>
  <si>
    <t xml:space="preserve">Газ</t>
  </si>
  <si>
    <t xml:space="preserve">0</t>
  </si>
  <si>
    <t xml:space="preserve">150</t>
  </si>
  <si>
    <t xml:space="preserve">200</t>
  </si>
  <si>
    <t xml:space="preserve">Вода и канализация</t>
  </si>
  <si>
    <t xml:space="preserve">60</t>
  </si>
  <si>
    <t xml:space="preserve">85</t>
  </si>
  <si>
    <t xml:space="preserve">120</t>
  </si>
  <si>
    <t xml:space="preserve">250</t>
  </si>
  <si>
    <t xml:space="preserve">500</t>
  </si>
  <si>
    <t xml:space="preserve">Логистика</t>
  </si>
  <si>
    <t xml:space="preserve">400</t>
  </si>
  <si>
    <t xml:space="preserve">Hygiene supplies</t>
  </si>
  <si>
    <t xml:space="preserve">80</t>
  </si>
  <si>
    <t xml:space="preserve">100</t>
  </si>
  <si>
    <t xml:space="preserve">ИТОГО OPEX/мес</t>
  </si>
  <si>
    <t xml:space="preserve">CAPEX + СТАРТОВЫЕ РАСХОДЫ</t>
  </si>
  <si>
    <t xml:space="preserve">Сумма €</t>
  </si>
  <si>
    <t xml:space="preserve">Когда</t>
  </si>
  <si>
    <t xml:space="preserve">M0</t>
  </si>
  <si>
    <t xml:space="preserve">Gencat</t>
  </si>
  <si>
    <t xml:space="preserve">RGSEAA + Licencia</t>
  </si>
  <si>
    <t xml:space="preserve">M1</t>
  </si>
  <si>
    <t xml:space="preserve">AESAN + Ajunt.</t>
  </si>
  <si>
    <t xml:space="preserve">HACCP консультант</t>
  </si>
  <si>
    <t xml:space="preserve">Ambialia</t>
  </si>
  <si>
    <t xml:space="preserve">Halal-сертификат (опционально)</t>
  </si>
  <si>
    <t xml:space="preserve">M2-M4</t>
  </si>
  <si>
    <t xml:space="preserve">Instituto Halal</t>
  </si>
  <si>
    <t xml:space="preserve">Дизайн логотипа + упаковки</t>
  </si>
  <si>
    <t xml:space="preserve">Фрилансер</t>
  </si>
  <si>
    <t xml:space="preserve">Печать упаковки стартовая партия</t>
  </si>
  <si>
    <t xml:space="preserve">M1-M2</t>
  </si>
  <si>
    <t xml:space="preserve">B2B</t>
  </si>
  <si>
    <t xml:space="preserve">Food photography</t>
  </si>
  <si>
    <t xml:space="preserve">Local</t>
  </si>
  <si>
    <t xml:space="preserve">Резерв на оборудование/ремонт</t>
  </si>
  <si>
    <t xml:space="preserve">M1-M3</t>
  </si>
  <si>
    <t xml:space="preserve">ИТОГО CAPEX</t>
  </si>
  <si>
    <t xml:space="preserve">P&amp;L 12 МЕСЯЦЕВ — ПЕССИМИСТИЧЕСКИЙ</t>
  </si>
  <si>
    <t xml:space="preserve">Кг/мес</t>
  </si>
  <si>
    <t xml:space="preserve">Выручка €</t>
  </si>
  <si>
    <t xml:space="preserve">Variable cost €</t>
  </si>
  <si>
    <t xml:space="preserve">OPEX €</t>
  </si>
  <si>
    <t xml:space="preserve">EBITDA €</t>
  </si>
  <si>
    <t xml:space="preserve">Накоп. EBITDA €</t>
  </si>
  <si>
    <t xml:space="preserve">Год 1 ИТОГО</t>
  </si>
  <si>
    <t xml:space="preserve">P&amp;L 12 МЕСЯЦЕВ — РЕАЛИСТИЧНЫЙ</t>
  </si>
  <si>
    <t xml:space="preserve">P&amp;L 12 МЕСЯЦЕВ — СУПЕР-ОПТИМИСТИЧЕСКИЙ</t>
  </si>
  <si>
    <t xml:space="preserve">BREAK-EVEN ANALYSIS — точка безубыточности по 3 сценариям</t>
  </si>
  <si>
    <t xml:space="preserve">Variable cost €/кг</t>
  </si>
  <si>
    <t xml:space="preserve">Маржа €/кг (price - VC)</t>
  </si>
  <si>
    <t xml:space="preserve">OPEX €/мес</t>
  </si>
  <si>
    <t xml:space="preserve">Break-even кг/мес</t>
  </si>
  <si>
    <t xml:space="preserve">Break-even кг/день (26 раб.д)</t>
  </si>
  <si>
    <t xml:space="preserve">Break-even выручка €/мес</t>
  </si>
  <si>
    <t xml:space="preserve">CASH FLOW — 12 МЕСЯЦЕВ (3 сценария)</t>
  </si>
  <si>
    <t xml:space="preserve">EBITDA ПЕССИМ</t>
  </si>
  <si>
    <t xml:space="preserve">Кум.ПЕССИМ</t>
  </si>
  <si>
    <t xml:space="preserve">EBITDA РЕАЛИЗМ</t>
  </si>
  <si>
    <t xml:space="preserve">Кум.РЕАЛИЗМ</t>
  </si>
  <si>
    <t xml:space="preserve">EBITDA СУПЕР</t>
  </si>
  <si>
    <t xml:space="preserve">Кум.СУПЕР</t>
  </si>
  <si>
    <t xml:space="preserve">M0 (старт после CAPEX)</t>
  </si>
  <si>
    <t xml:space="preserve">SENSITIVITY — что если цены/объёмы изменятся</t>
  </si>
  <si>
    <t xml:space="preserve">БАЗОВЫЙ СЦЕНАРИЙ = РЕАЛИЗМ (год 1)</t>
  </si>
  <si>
    <t xml:space="preserve">Базовое значение</t>
  </si>
  <si>
    <t xml:space="preserve">Эффект на год 1 EBITDA</t>
  </si>
  <si>
    <t xml:space="preserve">Мука +20%</t>
  </si>
  <si>
    <t xml:space="preserve">Снизит маржу на ~€0,11/кг</t>
  </si>
  <si>
    <t xml:space="preserve">Мука −10%</t>
  </si>
  <si>
    <t xml:space="preserve">Повысит маржу на ~€0,05/кг</t>
  </si>
  <si>
    <t xml:space="preserve">Цена ОПТ-канала +5%</t>
  </si>
  <si>
    <t xml:space="preserve">Повысит ср.цену в опт-mix</t>
  </si>
  <si>
    <t xml:space="preserve">Объём год 1 −20%</t>
  </si>
  <si>
    <t xml:space="preserve">Линейно EBITDA вниз</t>
  </si>
  <si>
    <t xml:space="preserve">Объём год 1 +20%</t>
  </si>
  <si>
    <t xml:space="preserve">Линейно EBITDA вверх</t>
  </si>
  <si>
    <t xml:space="preserve">Третий работник с M7</t>
  </si>
  <si>
    <t xml:space="preserve">+€1 614/мес OPEX начиная с M7</t>
  </si>
  <si>
    <t xml:space="preserve">Электричество +50%</t>
  </si>
  <si>
    <t xml:space="preserve">+€250/мес OPEX</t>
  </si>
  <si>
    <t xml:space="preserve">Halal-канал даёт +30% объёма</t>
  </si>
  <si>
    <t xml:space="preserve">1.30</t>
  </si>
  <si>
    <t xml:space="preserve">Если активирован M3, не M6</t>
  </si>
  <si>
    <t xml:space="preserve">СПИСОК ИСТОЧНИКОВ</t>
  </si>
  <si>
    <t xml:space="preserve">Категория</t>
  </si>
  <si>
    <t xml:space="preserve">URL / Контакт</t>
  </si>
  <si>
    <t xml:space="preserve">Регулирование</t>
  </si>
  <si>
    <t xml:space="preserve">BOE-A-2025-3950 (IVA 4% на лаваш)</t>
  </si>
  <si>
    <t xml:space="preserve">https://www.boe.es/buscar/doc.php?id=BOE-A-2025-3950</t>
  </si>
  <si>
    <t xml:space="preserve">BOE-A-2026-3815 (SMI 2026)</t>
  </si>
  <si>
    <t xml:space="preserve">https://www.boe.es</t>
  </si>
  <si>
    <t xml:space="preserve">Real Decreto 308/2019 (clasificación pan)</t>
  </si>
  <si>
    <t xml:space="preserve">Reglamento UE 1169/2011 (этикетка)</t>
  </si>
  <si>
    <t xml:space="preserve">https://eur-lex.europa.eu</t>
  </si>
  <si>
    <t xml:space="preserve">Gencat Salut Pública (RSIPAC)</t>
  </si>
  <si>
    <t xml:space="preserve">https://salutpublica.gencat.cat</t>
  </si>
  <si>
    <t xml:space="preserve">AESAN (RGSEAA)</t>
  </si>
  <si>
    <t xml:space="preserve">https://www.aesan.gob.es</t>
  </si>
  <si>
    <t xml:space="preserve">Энергия</t>
  </si>
  <si>
    <t xml:space="preserve">Roams Energía (PYME tariffs)</t>
  </si>
  <si>
    <t xml:space="preserve">https://roams.es/energia/luz/tarifas-luz-empresas/</t>
  </si>
  <si>
    <t xml:space="preserve">TarifaLuzHora (PVPC)</t>
  </si>
  <si>
    <t xml:space="preserve">https://tarifaluzhora.es</t>
  </si>
  <si>
    <t xml:space="preserve">Eni Plenitude (gas TUR)</t>
  </si>
  <si>
    <t xml:space="preserve">https://eniplenitude.es/blog/energia/precio-gas-natural-kwh/</t>
  </si>
  <si>
    <t xml:space="preserve">https://app.maeswell.com</t>
  </si>
  <si>
    <t xml:space="preserve">Сырьё</t>
  </si>
  <si>
    <t xml:space="preserve">B-Grup Distribuciones (мука)</t>
  </si>
  <si>
    <t xml:space="preserve">https://www.bgrup.es</t>
  </si>
  <si>
    <t xml:space="preserve">José Llopart (мука)</t>
  </si>
  <si>
    <t xml:space="preserve">http://www.josellopart.com</t>
  </si>
  <si>
    <t xml:space="preserve">Tienda Duo Harinero (rétail check)</t>
  </si>
  <si>
    <t xml:space="preserve">https://tienda-duoharinero.com</t>
  </si>
  <si>
    <t xml:space="preserve">Selina Wamucii (мука Испания)</t>
  </si>
  <si>
    <t xml:space="preserve">https://www.selinawamucii.com/insights/prices/spain/wheat-flour/</t>
  </si>
  <si>
    <t xml:space="preserve">Сертификации</t>
  </si>
  <si>
    <t xml:space="preserve">Ambialia (HACCP)</t>
  </si>
  <si>
    <t xml:space="preserve">https://www.ambialia.es</t>
  </si>
  <si>
    <t xml:space="preserve">https://institutohalal.com</t>
  </si>
  <si>
    <t xml:space="preserve">GS1 Spain (EAN)</t>
  </si>
  <si>
    <t xml:space="preserve">https://www.gs1es.org</t>
  </si>
  <si>
    <t xml:space="preserve">Юр</t>
  </si>
  <si>
    <t xml:space="preserve">Notariado de España</t>
  </si>
  <si>
    <t xml:space="preserve">https://www.notariado.org</t>
  </si>
  <si>
    <t xml:space="preserve">Налоги</t>
  </si>
  <si>
    <t xml:space="preserve">Seguridad Social</t>
  </si>
  <si>
    <t xml:space="preserve">https://www.seg-social.es</t>
  </si>
  <si>
    <t xml:space="preserve">Infoautónomos</t>
  </si>
  <si>
    <t xml:space="preserve">https://www.infoautonomos.com</t>
  </si>
  <si>
    <t xml:space="preserve">Рынок</t>
  </si>
  <si>
    <t xml:space="preserve">Asemac (industria panaderia)</t>
  </si>
  <si>
    <t xml:space="preserve">https://www.asemac.es</t>
  </si>
  <si>
    <t xml:space="preserve">Idescat (демография Каталония)</t>
  </si>
  <si>
    <t xml:space="preserve">https://www.idescat.cat</t>
  </si>
  <si>
    <t xml:space="preserve">Deep Market Insights (frozen bakery)</t>
  </si>
  <si>
    <t xml:space="preserve">https://deepmarketinsights.com/vista/insights/frozen-bakery-product-market/spain</t>
  </si>
  <si>
    <t xml:space="preserve">Конкуренты</t>
  </si>
  <si>
    <t xml:space="preserve">Don Pan 3000 (Empresite)</t>
  </si>
  <si>
    <t xml:space="preserve">https://www.empresite.eleconomista.es</t>
  </si>
  <si>
    <t xml:space="preserve">Libanofoods</t>
  </si>
  <si>
    <t xml:space="preserve">https://libanofoods.com</t>
  </si>
  <si>
    <t xml:space="preserve">Europastry</t>
  </si>
  <si>
    <t xml:space="preserve">https://www.europastry.com</t>
  </si>
  <si>
    <t xml:space="preserve">Каналы</t>
  </si>
  <si>
    <t xml:space="preserve">Bonpreu (KM0)</t>
  </si>
  <si>
    <t xml:space="preserve">https://www.bonpreuesclat.cat</t>
  </si>
  <si>
    <t xml:space="preserve">Valvi/Spar Catalunya</t>
  </si>
  <si>
    <t xml:space="preserve">http://www.valvi.cat</t>
  </si>
  <si>
    <t xml:space="preserve">Glovo Partners</t>
  </si>
  <si>
    <t xml:space="preserve">https://partners.glovoapp.com</t>
  </si>
  <si>
    <t xml:space="preserve">Uber Eats Merchants</t>
  </si>
  <si>
    <t xml:space="preserve">https://merchants.ubereats.com</t>
  </si>
  <si>
    <t xml:space="preserve">Just Eat для бизнеса</t>
  </si>
  <si>
    <t xml:space="preserve">https://restaurantes.just-eat.es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</si>
</sst>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&quot; кг&quot;"/>
    <numFmt numFmtId="166" formatCode="0.00&quot; €&quot;"/>
    <numFmt numFmtId="167" formatCode="#,##0&quot; €&quot;"/>
    <numFmt numFmtId="168" formatCode="0.0%"/>
    <numFmt numFmtId="169" formatCode="0.000&quot; €&quot;"/>
    <numFmt numFmtId="170" formatCode="#,##0"/>
    <numFmt numFmtId="171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Cambria"/>
      <family val="0"/>
      <charset val="1"/>
    </font>
    <font>
      <i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888888"/>
      <name val="Cambria"/>
      <family val="0"/>
      <charset val="1"/>
    </font>
    <font>
      <b val="true"/>
      <sz val="16"/>
      <color rgb="FF2A1810"/>
      <name val="Calibri"/>
      <family val="0"/>
      <charset val="1"/>
    </font>
    <font>
      <b val="true"/>
      <sz val="11"/>
      <color rgb="FFFFF3D9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2A1810"/>
      <name val="Calibri"/>
      <family val="0"/>
      <charset val="1"/>
    </font>
    <font>
      <u val="single"/>
      <sz val="10"/>
      <color rgb="FF0066CC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8D202"/>
        <bgColor rgb="FFF4C430"/>
      </patternFill>
    </fill>
    <fill>
      <patternFill patternType="solid">
        <fgColor rgb="FF6F3E22"/>
        <bgColor rgb="FF993366"/>
      </patternFill>
    </fill>
    <fill>
      <patternFill patternType="solid">
        <fgColor rgb="FFF4C430"/>
        <bgColor rgb="FFF8D202"/>
      </patternFill>
    </fill>
    <fill>
      <patternFill patternType="solid">
        <fgColor rgb="FFFFFCE0"/>
        <bgColor rgb="FFFFF3D9"/>
      </patternFill>
    </fill>
    <fill>
      <patternFill patternType="solid">
        <fgColor rgb="FFFFF3D9"/>
        <bgColor rgb="FFFFFCE0"/>
      </patternFill>
    </fill>
    <fill>
      <patternFill patternType="solid">
        <fgColor rgb="FFC8E6A0"/>
        <bgColor rgb="FFE0D0C0"/>
      </patternFill>
    </fill>
    <fill>
      <patternFill patternType="solid">
        <fgColor rgb="FFE0D0C0"/>
        <bgColor rgb="FFD9C8A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8A6"/>
      </left>
      <right style="thin">
        <color rgb="FFD9C8A6"/>
      </right>
      <top style="thin">
        <color rgb="FFD9C8A6"/>
      </top>
      <bottom style="thin">
        <color rgb="FFD9C8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BD7D6"/>
        </patternFill>
      </fill>
    </dxf>
    <dxf>
      <fill>
        <patternFill>
          <bgColor rgb="FFC8E6A0"/>
        </patternFill>
      </fill>
    </dxf>
  </dxfs>
  <colors>
    <indexedColors>
      <rgbColor rgb="FF000000"/>
      <rgbColor rgb="FFFFF3D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8A6"/>
      <rgbColor rgb="FF888888"/>
      <rgbColor rgb="FF9999FF"/>
      <rgbColor rgb="FF993366"/>
      <rgbColor rgb="FFFFFCE0"/>
      <rgbColor rgb="FFCCFFFF"/>
      <rgbColor rgb="FF660066"/>
      <rgbColor rgb="FFFF8080"/>
      <rgbColor rgb="FF0066CC"/>
      <rgbColor rgb="FFFBD7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A0"/>
      <rgbColor rgb="FFFFFF99"/>
      <rgbColor rgb="FF99CCFF"/>
      <rgbColor rgb="FFFF99CC"/>
      <rgbColor rgb="FFCC99FF"/>
      <rgbColor rgb="FFE0D0C0"/>
      <rgbColor rgb="FF3366FF"/>
      <rgbColor rgb="FF33CCCC"/>
      <rgbColor rgb="FF99CC00"/>
      <rgbColor rgb="FFF8D202"/>
      <rgbColor rgb="FFF4C430"/>
      <rgbColor rgb="FFFF6600"/>
      <rgbColor rgb="FF666699"/>
      <rgbColor rgb="FF969696"/>
      <rgbColor rgb="FF003366"/>
      <rgbColor rgb="FF339966"/>
      <rgbColor rgb="FF003300"/>
      <rgbColor rgb="FF2A1810"/>
      <rgbColor rgb="FF6F3E2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0" t="s">
        <v>6</v>
      </c>
    </row>
    <row r="9" customFormat="false" ht="15" hidden="false" customHeight="false" outlineLevel="0" collapsed="false">
      <c r="A9" s="0" t="s">
        <v>7</v>
      </c>
    </row>
    <row r="10" customFormat="false" ht="15" hidden="false" customHeight="false" outlineLevel="0" collapsed="false">
      <c r="A10" s="0" t="s">
        <v>8</v>
      </c>
    </row>
    <row r="11" customFormat="false" ht="15" hidden="false" customHeight="false" outlineLevel="0" collapsed="false">
      <c r="A11" s="0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0" t="s">
        <v>11</v>
      </c>
    </row>
    <row r="15" customFormat="false" ht="15" hidden="false" customHeight="false" outlineLevel="0" collapsed="false">
      <c r="A15" s="0" t="s">
        <v>12</v>
      </c>
    </row>
    <row r="16" customFormat="false" ht="15" hidden="false" customHeight="false" outlineLevel="0" collapsed="false">
      <c r="A16" s="0" t="s">
        <v>13</v>
      </c>
    </row>
    <row r="17" customFormat="false" ht="15" hidden="false" customHeight="false" outlineLevel="0" collapsed="false">
      <c r="A17" s="0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0" t="s">
        <v>16</v>
      </c>
    </row>
    <row r="21" customFormat="false" ht="15" hidden="false" customHeight="false" outlineLevel="0" collapsed="false">
      <c r="A21" s="0" t="s">
        <v>17</v>
      </c>
    </row>
    <row r="22" customFormat="false" ht="15" hidden="false" customHeight="false" outlineLevel="0" collapsed="false">
      <c r="A22" s="0" t="s">
        <v>18</v>
      </c>
    </row>
    <row r="23" customFormat="false" ht="15" hidden="false" customHeight="false" outlineLevel="0" collapsed="false">
      <c r="A23" s="0" t="s">
        <v>19</v>
      </c>
    </row>
    <row r="25" customFormat="false" ht="15" hidden="false" customHeight="false" outlineLevel="0" collapsed="false">
      <c r="A25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6"/>
    <col collapsed="false" customWidth="true" hidden="false" outlineLevel="0" max="5" min="5" style="0" width="22"/>
    <col collapsed="false" customWidth="true" hidden="false" outlineLevel="0" max="6" min="6" style="0" width="38"/>
  </cols>
  <sheetData>
    <row r="1" customFormat="false" ht="30" hidden="false" customHeight="true" outlineLevel="0" collapsed="false">
      <c r="A1" s="5" t="s">
        <v>21</v>
      </c>
      <c r="B1" s="5"/>
      <c r="C1" s="5"/>
      <c r="D1" s="5"/>
      <c r="E1" s="5"/>
      <c r="F1" s="5"/>
    </row>
    <row r="3" customFormat="false" ht="15" hidden="false" customHeight="false" outlineLevel="0" collapsed="false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</row>
    <row r="4" customFormat="false" ht="15" hidden="false" customHeight="false" outlineLevel="0" collapsed="false">
      <c r="A4" s="7" t="s">
        <v>28</v>
      </c>
      <c r="B4" s="8" t="n">
        <f aca="false">'04_Production Ramp'!B17</f>
        <v>13950</v>
      </c>
      <c r="C4" s="8" t="n">
        <f aca="false">'04_Production Ramp'!C17</f>
        <v>23550</v>
      </c>
      <c r="D4" s="8" t="n">
        <f aca="false">'04_Production Ramp'!D17</f>
        <v>43800</v>
      </c>
      <c r="E4" s="9" t="s">
        <v>29</v>
      </c>
      <c r="F4" s="9" t="s">
        <v>30</v>
      </c>
    </row>
    <row r="5" customFormat="false" ht="15" hidden="false" customHeight="false" outlineLevel="0" collapsed="false">
      <c r="A5" s="7" t="s">
        <v>31</v>
      </c>
      <c r="B5" s="10" t="n">
        <f aca="false">'03_Sales Mix'!C12</f>
        <v>6.125</v>
      </c>
      <c r="C5" s="10" t="n">
        <f aca="false">'03_Sales Mix'!D12</f>
        <v>5.655</v>
      </c>
      <c r="D5" s="10" t="n">
        <f aca="false">'03_Sales Mix'!E12</f>
        <v>5.125</v>
      </c>
      <c r="E5" s="9" t="s">
        <v>32</v>
      </c>
      <c r="F5" s="9" t="s">
        <v>33</v>
      </c>
    </row>
    <row r="6" customFormat="false" ht="15" hidden="false" customHeight="false" outlineLevel="0" collapsed="false">
      <c r="A6" s="7" t="s">
        <v>34</v>
      </c>
      <c r="B6" s="11" t="n">
        <f aca="false">'07_PL Пессимизм'!D16</f>
        <v>85443.75</v>
      </c>
      <c r="C6" s="11" t="n">
        <f aca="false">'08_PL Реализм'!D16</f>
        <v>133175.25</v>
      </c>
      <c r="D6" s="11" t="n">
        <f aca="false">'09_PL Суперопт'!D16</f>
        <v>224475</v>
      </c>
      <c r="E6" s="9" t="s">
        <v>35</v>
      </c>
      <c r="F6" s="9" t="s">
        <v>36</v>
      </c>
    </row>
    <row r="7" customFormat="false" ht="15" hidden="false" customHeight="false" outlineLevel="0" collapsed="false">
      <c r="A7" s="7" t="s">
        <v>37</v>
      </c>
      <c r="B7" s="12" t="n">
        <f aca="false">'07_PL Пессимизм'!G16</f>
        <v>13373.832</v>
      </c>
      <c r="C7" s="12" t="n">
        <f aca="false">'08_PL Реализм'!G16</f>
        <v>59917.932</v>
      </c>
      <c r="D7" s="12" t="n">
        <f aca="false">'09_PL Суперопт'!G16</f>
        <v>132199.182</v>
      </c>
      <c r="E7" s="9" t="s">
        <v>35</v>
      </c>
      <c r="F7" s="9" t="s">
        <v>38</v>
      </c>
    </row>
    <row r="8" customFormat="false" ht="15" hidden="false" customHeight="false" outlineLevel="0" collapsed="false">
      <c r="A8" s="7" t="s">
        <v>39</v>
      </c>
      <c r="B8" s="13" t="n">
        <f aca="false">B7/B6</f>
        <v>0.156522062760588</v>
      </c>
      <c r="C8" s="13" t="n">
        <f aca="false">C7/C6</f>
        <v>0.44991792393857</v>
      </c>
      <c r="D8" s="13" t="n">
        <f aca="false">D7/D6</f>
        <v>0.588926080855329</v>
      </c>
      <c r="E8" s="9" t="s">
        <v>40</v>
      </c>
      <c r="F8" s="9" t="s">
        <v>41</v>
      </c>
    </row>
    <row r="9" customFormat="false" ht="15" hidden="false" customHeight="false" outlineLevel="0" collapsed="false">
      <c r="A9" s="7" t="s">
        <v>42</v>
      </c>
      <c r="B9" s="11" t="n">
        <f aca="false">'10_Break-even'!B9</f>
        <v>35.4153237242047</v>
      </c>
      <c r="C9" s="11" t="n">
        <f aca="false">'10_Break-even'!C9</f>
        <v>29.1043737112923</v>
      </c>
      <c r="D9" s="11" t="n">
        <f aca="false">'10_Break-even'!D9</f>
        <v>23.0444528470698</v>
      </c>
      <c r="E9" s="9" t="s">
        <v>43</v>
      </c>
      <c r="F9" s="9" t="s">
        <v>44</v>
      </c>
    </row>
    <row r="10" customFormat="false" ht="15" hidden="false" customHeight="false" outlineLevel="0" collapsed="false">
      <c r="A10" s="7" t="s">
        <v>45</v>
      </c>
      <c r="B10" s="11" t="n">
        <f aca="false">'06_CAPEX'!B15</f>
        <v>24414.25</v>
      </c>
      <c r="C10" s="11" t="n">
        <f aca="false">'06_CAPEX'!B15</f>
        <v>24414.25</v>
      </c>
      <c r="D10" s="11" t="n">
        <f aca="false">'06_CAPEX'!B15</f>
        <v>24414.25</v>
      </c>
      <c r="E10" s="9" t="s">
        <v>46</v>
      </c>
      <c r="F10" s="9" t="s">
        <v>47</v>
      </c>
    </row>
    <row r="12" customFormat="false" ht="15" hidden="false" customHeight="false" outlineLevel="0" collapsed="false">
      <c r="A12" s="14" t="s">
        <v>48</v>
      </c>
    </row>
    <row r="13" customFormat="false" ht="15" hidden="false" customHeight="false" outlineLevel="0" collapsed="false">
      <c r="A13" s="0" t="s">
        <v>49</v>
      </c>
    </row>
    <row r="14" customFormat="false" ht="15" hidden="false" customHeight="false" outlineLevel="0" collapsed="false">
      <c r="A14" s="0" t="s">
        <v>50</v>
      </c>
    </row>
    <row r="15" customFormat="false" ht="15" hidden="false" customHeight="false" outlineLevel="0" collapsed="false">
      <c r="A15" s="0" t="s">
        <v>51</v>
      </c>
    </row>
    <row r="16" customFormat="false" ht="15" hidden="false" customHeight="false" outlineLevel="0" collapsed="false">
      <c r="A16" s="0" t="s">
        <v>52</v>
      </c>
    </row>
    <row r="17" customFormat="false" ht="15" hidden="false" customHeight="false" outlineLevel="0" collapsed="false">
      <c r="A17" s="0" t="s">
        <v>53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5" min="5" style="0" width="38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5" t="s">
        <v>54</v>
      </c>
      <c r="B1" s="15"/>
      <c r="C1" s="15"/>
      <c r="D1" s="15"/>
      <c r="E1" s="15"/>
      <c r="F1" s="15"/>
    </row>
    <row r="3" customFormat="false" ht="15" hidden="false" customHeight="false" outlineLevel="0" collapsed="false">
      <c r="A3" s="6" t="s">
        <v>55</v>
      </c>
      <c r="B3" s="6" t="s">
        <v>56</v>
      </c>
      <c r="C3" s="6" t="s">
        <v>57</v>
      </c>
      <c r="D3" s="6" t="s">
        <v>58</v>
      </c>
      <c r="E3" s="6" t="s">
        <v>26</v>
      </c>
      <c r="F3" s="6" t="s">
        <v>59</v>
      </c>
    </row>
    <row r="4" customFormat="false" ht="15" hidden="false" customHeight="false" outlineLevel="0" collapsed="false">
      <c r="A4" s="16" t="n">
        <v>1</v>
      </c>
      <c r="B4" s="16" t="s">
        <v>60</v>
      </c>
      <c r="C4" s="17" t="n">
        <v>0.75</v>
      </c>
      <c r="D4" s="16" t="s">
        <v>61</v>
      </c>
      <c r="E4" s="16" t="s">
        <v>62</v>
      </c>
      <c r="F4" s="18" t="s">
        <v>63</v>
      </c>
    </row>
    <row r="5" customFormat="false" ht="15" hidden="false" customHeight="false" outlineLevel="0" collapsed="false">
      <c r="A5" s="16" t="n">
        <v>2</v>
      </c>
      <c r="B5" s="16" t="s">
        <v>64</v>
      </c>
      <c r="C5" s="17" t="n">
        <v>2.5</v>
      </c>
      <c r="D5" s="16" t="s">
        <v>61</v>
      </c>
      <c r="E5" s="16" t="s">
        <v>65</v>
      </c>
      <c r="F5" s="18" t="s">
        <v>63</v>
      </c>
    </row>
    <row r="6" customFormat="false" ht="15" hidden="false" customHeight="false" outlineLevel="0" collapsed="false">
      <c r="A6" s="16" t="n">
        <v>3</v>
      </c>
      <c r="B6" s="16" t="s">
        <v>66</v>
      </c>
      <c r="C6" s="17" t="n">
        <v>0.4</v>
      </c>
      <c r="D6" s="16" t="s">
        <v>61</v>
      </c>
      <c r="E6" s="16" t="s">
        <v>67</v>
      </c>
      <c r="F6" s="18" t="s">
        <v>63</v>
      </c>
    </row>
    <row r="7" customFormat="false" ht="15" hidden="false" customHeight="false" outlineLevel="0" collapsed="false">
      <c r="A7" s="16" t="n">
        <v>4</v>
      </c>
      <c r="B7" s="16" t="s">
        <v>68</v>
      </c>
      <c r="C7" s="17" t="n">
        <v>0.003</v>
      </c>
      <c r="D7" s="16" t="s">
        <v>69</v>
      </c>
      <c r="E7" s="16" t="s">
        <v>70</v>
      </c>
      <c r="F7" s="18" t="s">
        <v>63</v>
      </c>
    </row>
    <row r="8" customFormat="false" ht="15" hidden="false" customHeight="false" outlineLevel="0" collapsed="false">
      <c r="A8" s="16" t="n">
        <v>5</v>
      </c>
      <c r="B8" s="16" t="s">
        <v>71</v>
      </c>
      <c r="C8" s="17" t="n">
        <v>0.12</v>
      </c>
      <c r="D8" s="16" t="s">
        <v>72</v>
      </c>
      <c r="E8" s="16" t="s">
        <v>73</v>
      </c>
      <c r="F8" s="19" t="s">
        <v>74</v>
      </c>
    </row>
    <row r="9" customFormat="false" ht="15" hidden="false" customHeight="false" outlineLevel="0" collapsed="false">
      <c r="A9" s="16" t="n">
        <v>6</v>
      </c>
      <c r="B9" s="16" t="s">
        <v>75</v>
      </c>
      <c r="C9" s="17" t="n">
        <v>0.8</v>
      </c>
      <c r="D9" s="16" t="s">
        <v>76</v>
      </c>
      <c r="E9" s="16" t="s">
        <v>77</v>
      </c>
      <c r="F9" s="18" t="s">
        <v>63</v>
      </c>
    </row>
    <row r="10" customFormat="false" ht="15" hidden="false" customHeight="false" outlineLevel="0" collapsed="false">
      <c r="A10" s="16" t="n">
        <v>7</v>
      </c>
      <c r="B10" s="16" t="s">
        <v>78</v>
      </c>
      <c r="C10" s="17" t="n">
        <v>200</v>
      </c>
      <c r="D10" s="16" t="s">
        <v>72</v>
      </c>
      <c r="E10" s="16" t="s">
        <v>79</v>
      </c>
      <c r="F10" s="19" t="s">
        <v>74</v>
      </c>
    </row>
    <row r="11" customFormat="false" ht="15" hidden="false" customHeight="false" outlineLevel="0" collapsed="false">
      <c r="A11" s="16" t="n">
        <v>8</v>
      </c>
      <c r="B11" s="16" t="s">
        <v>80</v>
      </c>
      <c r="C11" s="17" t="n">
        <v>0.03</v>
      </c>
      <c r="D11" s="16" t="s">
        <v>81</v>
      </c>
      <c r="E11" s="16" t="s">
        <v>82</v>
      </c>
      <c r="F11" s="18" t="s">
        <v>63</v>
      </c>
    </row>
    <row r="12" customFormat="false" ht="15" hidden="false" customHeight="false" outlineLevel="0" collapsed="false">
      <c r="A12" s="16" t="n">
        <v>9</v>
      </c>
      <c r="B12" s="16" t="s">
        <v>83</v>
      </c>
      <c r="C12" s="17" t="n">
        <v>0.05</v>
      </c>
      <c r="D12" s="16" t="s">
        <v>81</v>
      </c>
      <c r="E12" s="16" t="s">
        <v>84</v>
      </c>
      <c r="F12" s="18" t="s">
        <v>63</v>
      </c>
    </row>
    <row r="13" customFormat="false" ht="15" hidden="false" customHeight="false" outlineLevel="0" collapsed="false">
      <c r="A13" s="16" t="n">
        <v>10</v>
      </c>
      <c r="B13" s="16" t="s">
        <v>85</v>
      </c>
      <c r="C13" s="17" t="n">
        <v>1221</v>
      </c>
      <c r="D13" s="16" t="s">
        <v>86</v>
      </c>
      <c r="E13" s="16" t="s">
        <v>87</v>
      </c>
      <c r="F13" s="19" t="s">
        <v>74</v>
      </c>
    </row>
    <row r="14" customFormat="false" ht="15" hidden="false" customHeight="false" outlineLevel="0" collapsed="false">
      <c r="A14" s="16" t="n">
        <v>11</v>
      </c>
      <c r="B14" s="16" t="s">
        <v>88</v>
      </c>
      <c r="C14" s="17" t="n">
        <v>0.3215</v>
      </c>
      <c r="D14" s="16" t="s">
        <v>89</v>
      </c>
      <c r="E14" s="16" t="s">
        <v>90</v>
      </c>
      <c r="F14" s="19" t="s">
        <v>74</v>
      </c>
    </row>
    <row r="15" customFormat="false" ht="15" hidden="false" customHeight="false" outlineLevel="0" collapsed="false">
      <c r="A15" s="16" t="n">
        <v>12</v>
      </c>
      <c r="B15" s="16" t="s">
        <v>91</v>
      </c>
      <c r="C15" s="17" t="n">
        <v>1500</v>
      </c>
      <c r="D15" s="16" t="s">
        <v>86</v>
      </c>
      <c r="E15" s="16" t="s">
        <v>92</v>
      </c>
      <c r="F15" s="18" t="s">
        <v>63</v>
      </c>
    </row>
    <row r="16" customFormat="false" ht="15" hidden="false" customHeight="false" outlineLevel="0" collapsed="false">
      <c r="A16" s="16" t="n">
        <v>13</v>
      </c>
      <c r="B16" s="16" t="s">
        <v>93</v>
      </c>
      <c r="C16" s="17" t="n">
        <v>1221</v>
      </c>
      <c r="D16" s="16" t="s">
        <v>86</v>
      </c>
      <c r="E16" s="16" t="s">
        <v>94</v>
      </c>
      <c r="F16" s="19" t="s">
        <v>74</v>
      </c>
    </row>
    <row r="17" customFormat="false" ht="15" hidden="false" customHeight="false" outlineLevel="0" collapsed="false">
      <c r="A17" s="16" t="n">
        <v>14</v>
      </c>
      <c r="B17" s="16" t="s">
        <v>95</v>
      </c>
      <c r="C17" s="17" t="n">
        <v>0</v>
      </c>
      <c r="D17" s="16" t="s">
        <v>86</v>
      </c>
      <c r="E17" s="16" t="s">
        <v>96</v>
      </c>
      <c r="F17" s="18" t="s">
        <v>63</v>
      </c>
    </row>
    <row r="18" customFormat="false" ht="15" hidden="false" customHeight="false" outlineLevel="0" collapsed="false">
      <c r="A18" s="16" t="n">
        <v>15</v>
      </c>
      <c r="B18" s="16" t="s">
        <v>97</v>
      </c>
      <c r="C18" s="17" t="n">
        <v>0.04</v>
      </c>
      <c r="D18" s="16" t="s">
        <v>98</v>
      </c>
      <c r="E18" s="16" t="s">
        <v>99</v>
      </c>
      <c r="F18" s="19" t="s">
        <v>74</v>
      </c>
    </row>
    <row r="19" customFormat="false" ht="15" hidden="false" customHeight="false" outlineLevel="0" collapsed="false">
      <c r="A19" s="16" t="n">
        <v>16</v>
      </c>
      <c r="B19" s="16" t="s">
        <v>100</v>
      </c>
      <c r="C19" s="17" t="n">
        <v>80</v>
      </c>
      <c r="D19" s="16" t="s">
        <v>101</v>
      </c>
      <c r="E19" s="16" t="s">
        <v>102</v>
      </c>
      <c r="F19" s="19" t="s">
        <v>74</v>
      </c>
    </row>
    <row r="20" customFormat="false" ht="15" hidden="false" customHeight="false" outlineLevel="0" collapsed="false">
      <c r="A20" s="16" t="n">
        <v>17</v>
      </c>
      <c r="B20" s="16" t="s">
        <v>103</v>
      </c>
      <c r="C20" s="17" t="n">
        <v>300</v>
      </c>
      <c r="D20" s="16" t="s">
        <v>104</v>
      </c>
      <c r="E20" s="16" t="s">
        <v>105</v>
      </c>
      <c r="F20" s="19" t="s">
        <v>74</v>
      </c>
    </row>
    <row r="21" customFormat="false" ht="15" hidden="false" customHeight="false" outlineLevel="0" collapsed="false">
      <c r="A21" s="16" t="n">
        <v>18</v>
      </c>
      <c r="B21" s="16" t="s">
        <v>106</v>
      </c>
      <c r="C21" s="17" t="n">
        <v>70</v>
      </c>
      <c r="D21" s="16" t="s">
        <v>104</v>
      </c>
      <c r="E21" s="16" t="s">
        <v>107</v>
      </c>
      <c r="F21" s="19" t="s">
        <v>74</v>
      </c>
    </row>
    <row r="22" customFormat="false" ht="15" hidden="false" customHeight="false" outlineLevel="0" collapsed="false">
      <c r="A22" s="16" t="n">
        <v>19</v>
      </c>
      <c r="B22" s="16" t="s">
        <v>108</v>
      </c>
      <c r="C22" s="17" t="n">
        <v>100</v>
      </c>
      <c r="D22" s="16" t="s">
        <v>104</v>
      </c>
      <c r="E22" s="16" t="s">
        <v>109</v>
      </c>
      <c r="F22" s="18" t="s">
        <v>63</v>
      </c>
    </row>
    <row r="23" customFormat="false" ht="15" hidden="false" customHeight="false" outlineLevel="0" collapsed="false">
      <c r="A23" s="16" t="n">
        <v>20</v>
      </c>
      <c r="B23" s="16" t="s">
        <v>110</v>
      </c>
      <c r="C23" s="17" t="n">
        <v>350</v>
      </c>
      <c r="D23" s="16" t="s">
        <v>104</v>
      </c>
      <c r="E23" s="16" t="s">
        <v>111</v>
      </c>
      <c r="F23" s="19" t="s">
        <v>74</v>
      </c>
    </row>
    <row r="24" customFormat="false" ht="15" hidden="false" customHeight="false" outlineLevel="0" collapsed="false">
      <c r="A24" s="16" t="n">
        <v>21</v>
      </c>
      <c r="B24" s="16" t="s">
        <v>112</v>
      </c>
      <c r="C24" s="17" t="n">
        <v>300</v>
      </c>
      <c r="D24" s="16" t="s">
        <v>104</v>
      </c>
      <c r="E24" s="16" t="s">
        <v>113</v>
      </c>
      <c r="F24" s="18" t="s">
        <v>63</v>
      </c>
    </row>
    <row r="25" customFormat="false" ht="15" hidden="false" customHeight="false" outlineLevel="0" collapsed="false">
      <c r="A25" s="16" t="n">
        <v>22</v>
      </c>
      <c r="B25" s="16" t="s">
        <v>114</v>
      </c>
      <c r="C25" s="17" t="n">
        <v>100</v>
      </c>
      <c r="D25" s="16" t="s">
        <v>104</v>
      </c>
      <c r="E25" s="16" t="s">
        <v>115</v>
      </c>
      <c r="F25" s="18" t="s">
        <v>63</v>
      </c>
    </row>
    <row r="26" customFormat="false" ht="15" hidden="false" customHeight="false" outlineLevel="0" collapsed="false">
      <c r="A26" s="16" t="n">
        <v>23</v>
      </c>
      <c r="B26" s="16" t="s">
        <v>116</v>
      </c>
      <c r="C26" s="17" t="n">
        <v>100</v>
      </c>
      <c r="D26" s="16" t="s">
        <v>104</v>
      </c>
      <c r="E26" s="16" t="s">
        <v>117</v>
      </c>
      <c r="F26" s="18" t="s">
        <v>63</v>
      </c>
    </row>
    <row r="27" customFormat="false" ht="15" hidden="false" customHeight="false" outlineLevel="0" collapsed="false">
      <c r="A27" s="16" t="n">
        <v>24</v>
      </c>
      <c r="B27" s="16" t="s">
        <v>118</v>
      </c>
      <c r="C27" s="17" t="n">
        <v>120</v>
      </c>
      <c r="D27" s="16" t="s">
        <v>104</v>
      </c>
      <c r="E27" s="16" t="s">
        <v>119</v>
      </c>
      <c r="F27" s="18" t="s">
        <v>63</v>
      </c>
    </row>
    <row r="28" customFormat="false" ht="15" hidden="false" customHeight="false" outlineLevel="0" collapsed="false">
      <c r="A28" s="16" t="n">
        <v>25</v>
      </c>
      <c r="B28" s="16" t="s">
        <v>120</v>
      </c>
      <c r="C28" s="17" t="n">
        <v>400</v>
      </c>
      <c r="D28" s="16" t="s">
        <v>86</v>
      </c>
      <c r="E28" s="16" t="s">
        <v>121</v>
      </c>
      <c r="F28" s="19" t="s">
        <v>74</v>
      </c>
    </row>
    <row r="29" customFormat="false" ht="15" hidden="false" customHeight="false" outlineLevel="0" collapsed="false">
      <c r="A29" s="16" t="n">
        <v>26</v>
      </c>
      <c r="B29" s="16" t="s">
        <v>122</v>
      </c>
      <c r="C29" s="17" t="n">
        <v>64.25</v>
      </c>
      <c r="D29" s="16" t="s">
        <v>86</v>
      </c>
      <c r="E29" s="16" t="s">
        <v>123</v>
      </c>
      <c r="F29" s="19" t="s">
        <v>74</v>
      </c>
    </row>
    <row r="30" customFormat="false" ht="15" hidden="false" customHeight="false" outlineLevel="0" collapsed="false">
      <c r="A30" s="16" t="n">
        <v>27</v>
      </c>
      <c r="B30" s="16" t="s">
        <v>124</v>
      </c>
      <c r="C30" s="17" t="n">
        <v>350</v>
      </c>
      <c r="D30" s="16" t="s">
        <v>86</v>
      </c>
      <c r="E30" s="16" t="s">
        <v>125</v>
      </c>
      <c r="F30" s="18" t="s">
        <v>63</v>
      </c>
    </row>
    <row r="31" customFormat="false" ht="15" hidden="false" customHeight="false" outlineLevel="0" collapsed="false">
      <c r="A31" s="16" t="n">
        <v>28</v>
      </c>
      <c r="B31" s="16" t="s">
        <v>126</v>
      </c>
      <c r="C31" s="17" t="n">
        <v>500</v>
      </c>
      <c r="D31" s="16" t="s">
        <v>86</v>
      </c>
      <c r="E31" s="16" t="s">
        <v>127</v>
      </c>
      <c r="F31" s="19" t="s">
        <v>74</v>
      </c>
    </row>
    <row r="32" customFormat="false" ht="15" hidden="false" customHeight="false" outlineLevel="0" collapsed="false">
      <c r="A32" s="16" t="n">
        <v>29</v>
      </c>
      <c r="B32" s="16" t="s">
        <v>128</v>
      </c>
      <c r="C32" s="17" t="n">
        <v>200</v>
      </c>
      <c r="D32" s="16" t="s">
        <v>86</v>
      </c>
      <c r="E32" s="16" t="s">
        <v>129</v>
      </c>
      <c r="F32" s="19" t="s">
        <v>74</v>
      </c>
    </row>
    <row r="33" customFormat="false" ht="15" hidden="false" customHeight="false" outlineLevel="0" collapsed="false">
      <c r="A33" s="16" t="n">
        <v>30</v>
      </c>
      <c r="B33" s="16" t="s">
        <v>130</v>
      </c>
      <c r="C33" s="17" t="n">
        <v>2500</v>
      </c>
      <c r="D33" s="16" t="s">
        <v>86</v>
      </c>
      <c r="E33" s="16" t="s">
        <v>131</v>
      </c>
      <c r="F33" s="18" t="s">
        <v>63</v>
      </c>
    </row>
    <row r="34" customFormat="false" ht="15" hidden="false" customHeight="false" outlineLevel="0" collapsed="false">
      <c r="A34" s="16" t="n">
        <v>31</v>
      </c>
      <c r="B34" s="16" t="s">
        <v>132</v>
      </c>
      <c r="C34" s="17" t="n">
        <v>800</v>
      </c>
      <c r="D34" s="16" t="s">
        <v>86</v>
      </c>
      <c r="E34" s="16" t="s">
        <v>133</v>
      </c>
      <c r="F34" s="19" t="s">
        <v>74</v>
      </c>
    </row>
    <row r="35" customFormat="false" ht="15" hidden="false" customHeight="false" outlineLevel="0" collapsed="false">
      <c r="A35" s="16" t="n">
        <v>32</v>
      </c>
      <c r="B35" s="16" t="s">
        <v>134</v>
      </c>
      <c r="C35" s="17" t="n">
        <v>1000</v>
      </c>
      <c r="D35" s="16" t="s">
        <v>86</v>
      </c>
      <c r="E35" s="16" t="s">
        <v>135</v>
      </c>
      <c r="F35" s="18" t="s">
        <v>63</v>
      </c>
    </row>
    <row r="36" customFormat="false" ht="15" hidden="false" customHeight="false" outlineLevel="0" collapsed="false">
      <c r="A36" s="16" t="n">
        <v>33</v>
      </c>
      <c r="B36" s="16" t="s">
        <v>136</v>
      </c>
      <c r="C36" s="17" t="n">
        <v>600</v>
      </c>
      <c r="D36" s="16" t="s">
        <v>86</v>
      </c>
      <c r="E36" s="16" t="s">
        <v>137</v>
      </c>
      <c r="F36" s="19" t="s">
        <v>74</v>
      </c>
    </row>
    <row r="37" customFormat="false" ht="15" hidden="false" customHeight="false" outlineLevel="0" collapsed="false">
      <c r="A37" s="16" t="n">
        <v>34</v>
      </c>
      <c r="B37" s="16" t="s">
        <v>138</v>
      </c>
      <c r="C37" s="17" t="n">
        <v>3000</v>
      </c>
      <c r="D37" s="16" t="s">
        <v>86</v>
      </c>
      <c r="E37" s="16" t="s">
        <v>139</v>
      </c>
      <c r="F37" s="18" t="s">
        <v>63</v>
      </c>
    </row>
    <row r="38" customFormat="false" ht="15" hidden="false" customHeight="false" outlineLevel="0" collapsed="false">
      <c r="A38" s="16" t="n">
        <v>35</v>
      </c>
      <c r="B38" s="16" t="s">
        <v>140</v>
      </c>
      <c r="C38" s="17" t="n">
        <v>15000</v>
      </c>
      <c r="D38" s="16" t="s">
        <v>86</v>
      </c>
      <c r="E38" s="16" t="s">
        <v>141</v>
      </c>
      <c r="F38" s="18" t="s">
        <v>63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5" t="s">
        <v>142</v>
      </c>
      <c r="B1" s="15"/>
      <c r="C1" s="15"/>
      <c r="D1" s="15"/>
      <c r="E1" s="15"/>
    </row>
    <row r="3" customFormat="false" ht="23.85" hidden="false" customHeight="false" outlineLevel="0" collapsed="false">
      <c r="A3" s="6" t="s">
        <v>143</v>
      </c>
      <c r="B3" s="6" t="s">
        <v>144</v>
      </c>
      <c r="C3" s="6" t="s">
        <v>145</v>
      </c>
      <c r="D3" s="6" t="s">
        <v>146</v>
      </c>
      <c r="E3" s="6" t="s">
        <v>147</v>
      </c>
    </row>
    <row r="4" customFormat="false" ht="15" hidden="false" customHeight="false" outlineLevel="0" collapsed="false">
      <c r="A4" s="9" t="s">
        <v>148</v>
      </c>
      <c r="B4" s="9" t="n">
        <v>0.7</v>
      </c>
      <c r="C4" s="9" t="n">
        <f aca="false">'01_Inputs'!C4</f>
        <v>0.75</v>
      </c>
      <c r="D4" s="20" t="n">
        <f aca="false">B4*C4</f>
        <v>0.525</v>
      </c>
      <c r="E4" s="9" t="s">
        <v>60</v>
      </c>
    </row>
    <row r="5" customFormat="false" ht="15" hidden="false" customHeight="false" outlineLevel="0" collapsed="false">
      <c r="A5" s="9" t="s">
        <v>149</v>
      </c>
      <c r="B5" s="9" t="n">
        <v>0.012</v>
      </c>
      <c r="C5" s="9" t="n">
        <f aca="false">'01_Inputs'!C5</f>
        <v>2.5</v>
      </c>
      <c r="D5" s="20" t="n">
        <f aca="false">B5*C5</f>
        <v>0.03</v>
      </c>
      <c r="E5" s="9" t="s">
        <v>64</v>
      </c>
    </row>
    <row r="6" customFormat="false" ht="15" hidden="false" customHeight="false" outlineLevel="0" collapsed="false">
      <c r="A6" s="9" t="s">
        <v>150</v>
      </c>
      <c r="B6" s="9" t="n">
        <v>0.012</v>
      </c>
      <c r="C6" s="9" t="n">
        <f aca="false">'01_Inputs'!C6</f>
        <v>0.4</v>
      </c>
      <c r="D6" s="20" t="n">
        <f aca="false">B6*C6</f>
        <v>0.0048</v>
      </c>
      <c r="E6" s="9" t="s">
        <v>66</v>
      </c>
    </row>
    <row r="7" customFormat="false" ht="15" hidden="false" customHeight="false" outlineLevel="0" collapsed="false">
      <c r="A7" s="9" t="s">
        <v>151</v>
      </c>
      <c r="B7" s="9" t="n">
        <v>0.4</v>
      </c>
      <c r="C7" s="9" t="n">
        <f aca="false">'01_Inputs'!C7</f>
        <v>0.003</v>
      </c>
      <c r="D7" s="20" t="n">
        <f aca="false">B7*C7</f>
        <v>0.0012</v>
      </c>
      <c r="E7" s="9" t="s">
        <v>68</v>
      </c>
    </row>
    <row r="8" customFormat="false" ht="15" hidden="false" customHeight="false" outlineLevel="0" collapsed="false">
      <c r="A8" s="9" t="s">
        <v>152</v>
      </c>
      <c r="B8" s="9" t="n">
        <v>0.8</v>
      </c>
      <c r="C8" s="9" t="n">
        <f aca="false">'01_Inputs'!C8</f>
        <v>0.12</v>
      </c>
      <c r="D8" s="20" t="n">
        <f aca="false">B8*C8</f>
        <v>0.096</v>
      </c>
      <c r="E8" s="9" t="s">
        <v>71</v>
      </c>
    </row>
    <row r="9" customFormat="false" ht="15" hidden="false" customHeight="false" outlineLevel="0" collapsed="false">
      <c r="A9" s="21"/>
      <c r="B9" s="21"/>
      <c r="C9" s="21" t="s">
        <v>153</v>
      </c>
      <c r="D9" s="22" t="n">
        <f aca="false">SUM(D4:D8)</f>
        <v>0.657</v>
      </c>
      <c r="E9" s="21"/>
    </row>
    <row r="10" customFormat="false" ht="15" hidden="false" customHeight="false" outlineLevel="0" collapsed="false">
      <c r="A10" s="9" t="s">
        <v>154</v>
      </c>
      <c r="B10" s="9" t="n">
        <v>2.5</v>
      </c>
      <c r="C10" s="9" t="n">
        <f aca="false">'01_Inputs'!C11</f>
        <v>0.03</v>
      </c>
      <c r="D10" s="20" t="n">
        <f aca="false">B10*C10</f>
        <v>0.075</v>
      </c>
      <c r="E10" s="9" t="s">
        <v>80</v>
      </c>
    </row>
    <row r="11" customFormat="false" ht="15" hidden="false" customHeight="false" outlineLevel="0" collapsed="false">
      <c r="A11" s="9" t="s">
        <v>155</v>
      </c>
      <c r="B11" s="9" t="n">
        <v>2.5</v>
      </c>
      <c r="C11" s="9" t="n">
        <f aca="false">'01_Inputs'!C12</f>
        <v>0.05</v>
      </c>
      <c r="D11" s="20" t="n">
        <f aca="false">B11*C11</f>
        <v>0.125</v>
      </c>
      <c r="E11" s="9" t="s">
        <v>156</v>
      </c>
    </row>
    <row r="12" customFormat="false" ht="15" hidden="false" customHeight="false" outlineLevel="0" collapsed="false">
      <c r="A12" s="21"/>
      <c r="B12" s="21"/>
      <c r="C12" s="21" t="s">
        <v>157</v>
      </c>
      <c r="D12" s="22" t="n">
        <f aca="false">SUM(D4:D11)</f>
        <v>1.514</v>
      </c>
      <c r="E12" s="21"/>
    </row>
    <row r="14" customFormat="false" ht="15" hidden="false" customHeight="false" outlineLevel="0" collapsed="false">
      <c r="A14" s="15" t="s">
        <v>158</v>
      </c>
      <c r="B14" s="15"/>
      <c r="C14" s="15"/>
      <c r="D14" s="15"/>
      <c r="E14" s="15"/>
    </row>
    <row r="15" customFormat="false" ht="15" hidden="false" customHeight="false" outlineLevel="0" collapsed="false">
      <c r="A15" s="6" t="s">
        <v>159</v>
      </c>
      <c r="B15" s="6" t="s">
        <v>160</v>
      </c>
      <c r="C15" s="6" t="s">
        <v>161</v>
      </c>
      <c r="D15" s="6" t="s">
        <v>162</v>
      </c>
      <c r="E15" s="6" t="s">
        <v>163</v>
      </c>
    </row>
    <row r="16" customFormat="false" ht="15" hidden="false" customHeight="false" outlineLevel="0" collapsed="false">
      <c r="A16" s="9" t="s">
        <v>164</v>
      </c>
      <c r="B16" s="9" t="n">
        <v>4.5</v>
      </c>
      <c r="C16" s="10" t="n">
        <f aca="false">B16/(1+'01_Inputs'!C18)</f>
        <v>4.32692307692308</v>
      </c>
      <c r="D16" s="23" t="n">
        <f aca="false">C16-'02_Unit Economics'!$D$12</f>
        <v>2.81292307692308</v>
      </c>
      <c r="E16" s="13" t="n">
        <f aca="false">D16/B16</f>
        <v>0.625094017094017</v>
      </c>
    </row>
    <row r="17" customFormat="false" ht="15" hidden="false" customHeight="false" outlineLevel="0" collapsed="false">
      <c r="A17" s="9" t="s">
        <v>165</v>
      </c>
      <c r="B17" s="9" t="n">
        <v>6</v>
      </c>
      <c r="C17" s="10" t="n">
        <f aca="false">B17/(1+'01_Inputs'!C18)</f>
        <v>5.76923076923077</v>
      </c>
      <c r="D17" s="23" t="n">
        <f aca="false">C17-'02_Unit Economics'!$D$12</f>
        <v>4.25523076923077</v>
      </c>
      <c r="E17" s="13" t="n">
        <f aca="false">D17/B17</f>
        <v>0.709205128205128</v>
      </c>
    </row>
    <row r="18" customFormat="false" ht="15" hidden="false" customHeight="false" outlineLevel="0" collapsed="false">
      <c r="A18" s="9" t="s">
        <v>166</v>
      </c>
      <c r="B18" s="9" t="n">
        <v>5.5</v>
      </c>
      <c r="C18" s="10" t="n">
        <f aca="false">B18/(1+'01_Inputs'!C18)</f>
        <v>5.28846153846154</v>
      </c>
      <c r="D18" s="23" t="n">
        <f aca="false">C18-'02_Unit Economics'!$D$12</f>
        <v>3.77446153846154</v>
      </c>
      <c r="E18" s="13" t="n">
        <f aca="false">D18/B18</f>
        <v>0.686265734265734</v>
      </c>
    </row>
    <row r="19" customFormat="false" ht="15" hidden="false" customHeight="false" outlineLevel="0" collapsed="false">
      <c r="A19" s="9" t="s">
        <v>167</v>
      </c>
      <c r="B19" s="9" t="n">
        <v>6.5</v>
      </c>
      <c r="C19" s="10" t="n">
        <f aca="false">B19/(1+'01_Inputs'!C18)</f>
        <v>6.25</v>
      </c>
      <c r="D19" s="23" t="n">
        <f aca="false">C19-'02_Unit Economics'!$D$12</f>
        <v>4.736</v>
      </c>
      <c r="E19" s="13" t="n">
        <f aca="false">D19/B19</f>
        <v>0.728615384615385</v>
      </c>
    </row>
    <row r="20" customFormat="false" ht="15" hidden="false" customHeight="false" outlineLevel="0" collapsed="false">
      <c r="A20" s="9" t="s">
        <v>168</v>
      </c>
      <c r="B20" s="9" t="n">
        <v>7</v>
      </c>
      <c r="C20" s="10" t="n">
        <f aca="false">B20/(1+'01_Inputs'!C18)</f>
        <v>6.73076923076923</v>
      </c>
      <c r="D20" s="23" t="n">
        <f aca="false">C20-'02_Unit Economics'!$D$12</f>
        <v>5.21676923076923</v>
      </c>
      <c r="E20" s="13" t="n">
        <f aca="false">D20/B20</f>
        <v>0.745252747252747</v>
      </c>
    </row>
    <row r="21" customFormat="false" ht="15" hidden="false" customHeight="false" outlineLevel="0" collapsed="false">
      <c r="A21" s="9" t="s">
        <v>169</v>
      </c>
      <c r="B21" s="9" t="n">
        <v>10</v>
      </c>
      <c r="C21" s="10" t="n">
        <f aca="false">B21/(1+'01_Inputs'!C18)</f>
        <v>9.61538461538462</v>
      </c>
      <c r="D21" s="23" t="n">
        <f aca="false">C21-'02_Unit Economics'!$D$12</f>
        <v>8.10138461538462</v>
      </c>
      <c r="E21" s="13" t="n">
        <f aca="false">D21/B21</f>
        <v>0.810138461538462</v>
      </c>
    </row>
  </sheetData>
  <mergeCells count="2">
    <mergeCell ref="A1:E1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5" min="3" style="0" width="18"/>
  </cols>
  <sheetData>
    <row r="1" customFormat="false" ht="25.5" hidden="false" customHeight="true" outlineLevel="0" collapsed="false">
      <c r="A1" s="15" t="s">
        <v>170</v>
      </c>
      <c r="B1" s="15"/>
      <c r="C1" s="15"/>
      <c r="D1" s="15"/>
      <c r="E1" s="15"/>
    </row>
    <row r="3" customFormat="false" ht="23.85" hidden="false" customHeight="false" outlineLevel="0" collapsed="false">
      <c r="A3" s="6" t="s">
        <v>159</v>
      </c>
      <c r="B3" s="6" t="s">
        <v>171</v>
      </c>
      <c r="C3" s="6" t="s">
        <v>172</v>
      </c>
      <c r="D3" s="6" t="s">
        <v>173</v>
      </c>
      <c r="E3" s="6" t="s">
        <v>174</v>
      </c>
    </row>
    <row r="4" customFormat="false" ht="15" hidden="false" customHeight="false" outlineLevel="0" collapsed="false">
      <c r="A4" s="9" t="s">
        <v>164</v>
      </c>
      <c r="B4" s="10" t="n">
        <f aca="false">'02_Unit Economics'!B16</f>
        <v>4.5</v>
      </c>
      <c r="C4" s="13" t="n">
        <v>0.1</v>
      </c>
      <c r="D4" s="13" t="n">
        <v>0.2</v>
      </c>
      <c r="E4" s="13" t="n">
        <v>0.3</v>
      </c>
    </row>
    <row r="5" customFormat="false" ht="15" hidden="false" customHeight="false" outlineLevel="0" collapsed="false">
      <c r="A5" s="9" t="s">
        <v>165</v>
      </c>
      <c r="B5" s="10" t="n">
        <f aca="false">'02_Unit Economics'!B17</f>
        <v>6</v>
      </c>
      <c r="C5" s="13" t="n">
        <v>0.45</v>
      </c>
      <c r="D5" s="13" t="n">
        <v>0.3</v>
      </c>
      <c r="E5" s="13" t="n">
        <v>0.2</v>
      </c>
    </row>
    <row r="6" customFormat="false" ht="15" hidden="false" customHeight="false" outlineLevel="0" collapsed="false">
      <c r="A6" s="9" t="s">
        <v>166</v>
      </c>
      <c r="B6" s="10" t="n">
        <f aca="false">'02_Unit Economics'!B18</f>
        <v>5.5</v>
      </c>
      <c r="C6" s="13" t="n">
        <v>0.3</v>
      </c>
      <c r="D6" s="13" t="n">
        <v>0.25</v>
      </c>
      <c r="E6" s="13" t="n">
        <v>0.2</v>
      </c>
    </row>
    <row r="7" customFormat="false" ht="15" hidden="false" customHeight="false" outlineLevel="0" collapsed="false">
      <c r="A7" s="9" t="s">
        <v>167</v>
      </c>
      <c r="B7" s="10" t="n">
        <f aca="false">'02_Unit Economics'!B19</f>
        <v>6.5</v>
      </c>
      <c r="C7" s="13" t="n">
        <v>0.05</v>
      </c>
      <c r="D7" s="13" t="n">
        <v>0.12</v>
      </c>
      <c r="E7" s="13" t="n">
        <v>0.15</v>
      </c>
    </row>
    <row r="8" customFormat="false" ht="15" hidden="false" customHeight="false" outlineLevel="0" collapsed="false">
      <c r="A8" s="9" t="s">
        <v>168</v>
      </c>
      <c r="B8" s="10" t="n">
        <f aca="false">'02_Unit Economics'!B20</f>
        <v>7</v>
      </c>
      <c r="C8" s="13" t="n">
        <v>0</v>
      </c>
      <c r="D8" s="13" t="n">
        <v>0</v>
      </c>
      <c r="E8" s="13" t="n">
        <v>0</v>
      </c>
    </row>
    <row r="9" customFormat="false" ht="15" hidden="false" customHeight="false" outlineLevel="0" collapsed="false">
      <c r="A9" s="9" t="s">
        <v>169</v>
      </c>
      <c r="B9" s="10" t="n">
        <f aca="false">'02_Unit Economics'!B21</f>
        <v>10</v>
      </c>
      <c r="C9" s="13" t="n">
        <v>0.1</v>
      </c>
      <c r="D9" s="13" t="n">
        <v>0.08</v>
      </c>
      <c r="E9" s="13" t="n">
        <v>0.05</v>
      </c>
    </row>
    <row r="10" customFormat="false" ht="15" hidden="false" customHeight="false" outlineLevel="0" collapsed="false">
      <c r="A10" s="21"/>
      <c r="B10" s="21" t="s">
        <v>175</v>
      </c>
      <c r="C10" s="24" t="n">
        <f aca="false">SUM(C4:C9)</f>
        <v>1</v>
      </c>
      <c r="D10" s="24" t="n">
        <f aca="false">SUM(D4:D9)</f>
        <v>0.95</v>
      </c>
      <c r="E10" s="24" t="n">
        <f aca="false">SUM(E4:E9)</f>
        <v>0.9</v>
      </c>
    </row>
    <row r="12" customFormat="false" ht="15" hidden="false" customHeight="false" outlineLevel="0" collapsed="false">
      <c r="A12" s="7" t="s">
        <v>176</v>
      </c>
      <c r="B12" s="7"/>
      <c r="C12" s="25" t="n">
        <f aca="false">SUMPRODUCT(B4:B9,C4:C9)</f>
        <v>6.125</v>
      </c>
      <c r="D12" s="25" t="n">
        <f aca="false">SUMPRODUCT(B4:B9,D4:D9)</f>
        <v>5.655</v>
      </c>
      <c r="E12" s="25" t="n">
        <f aca="false">SUMPRODUCT(B4:B9,E4:E9)</f>
        <v>5.125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  <col collapsed="false" customWidth="true" hidden="false" outlineLevel="0" max="5" min="5" style="0" width="38"/>
  </cols>
  <sheetData>
    <row r="1" customFormat="false" ht="25.5" hidden="false" customHeight="true" outlineLevel="0" collapsed="false">
      <c r="A1" s="15" t="s">
        <v>177</v>
      </c>
      <c r="B1" s="15"/>
      <c r="C1" s="15"/>
      <c r="D1" s="15"/>
      <c r="E1" s="15"/>
    </row>
    <row r="4" customFormat="false" ht="15" hidden="false" customHeight="false" outlineLevel="0" collapsed="false">
      <c r="A4" s="6" t="s">
        <v>178</v>
      </c>
      <c r="B4" s="6" t="s">
        <v>179</v>
      </c>
      <c r="C4" s="6" t="s">
        <v>180</v>
      </c>
      <c r="D4" s="6" t="s">
        <v>181</v>
      </c>
      <c r="E4" s="6" t="s">
        <v>27</v>
      </c>
    </row>
    <row r="5" customFormat="false" ht="15" hidden="false" customHeight="false" outlineLevel="0" collapsed="false">
      <c r="A5" s="9" t="s">
        <v>182</v>
      </c>
      <c r="B5" s="26" t="n">
        <v>150</v>
      </c>
      <c r="C5" s="26" t="n">
        <v>250</v>
      </c>
      <c r="D5" s="26" t="n">
        <v>500</v>
      </c>
      <c r="E5" s="9" t="s">
        <v>183</v>
      </c>
    </row>
    <row r="6" customFormat="false" ht="15" hidden="false" customHeight="false" outlineLevel="0" collapsed="false">
      <c r="A6" s="9" t="s">
        <v>184</v>
      </c>
      <c r="B6" s="26" t="n">
        <v>300</v>
      </c>
      <c r="C6" s="26" t="n">
        <v>500</v>
      </c>
      <c r="D6" s="26" t="n">
        <v>900</v>
      </c>
      <c r="E6" s="9" t="s">
        <v>185</v>
      </c>
    </row>
    <row r="7" customFormat="false" ht="15" hidden="false" customHeight="false" outlineLevel="0" collapsed="false">
      <c r="A7" s="9" t="s">
        <v>186</v>
      </c>
      <c r="B7" s="26" t="n">
        <v>500</v>
      </c>
      <c r="C7" s="26" t="n">
        <v>900</v>
      </c>
      <c r="D7" s="26" t="n">
        <v>1500</v>
      </c>
      <c r="E7" s="9" t="s">
        <v>187</v>
      </c>
    </row>
    <row r="8" customFormat="false" ht="15" hidden="false" customHeight="false" outlineLevel="0" collapsed="false">
      <c r="A8" s="9" t="s">
        <v>188</v>
      </c>
      <c r="B8" s="26" t="n">
        <v>700</v>
      </c>
      <c r="C8" s="26" t="n">
        <v>1300</v>
      </c>
      <c r="D8" s="26" t="n">
        <v>2200</v>
      </c>
      <c r="E8" s="9" t="s">
        <v>189</v>
      </c>
    </row>
    <row r="9" customFormat="false" ht="15" hidden="false" customHeight="false" outlineLevel="0" collapsed="false">
      <c r="A9" s="9" t="s">
        <v>190</v>
      </c>
      <c r="B9" s="26" t="n">
        <v>900</v>
      </c>
      <c r="C9" s="26" t="n">
        <v>1500</v>
      </c>
      <c r="D9" s="26" t="n">
        <v>2800</v>
      </c>
      <c r="E9" s="9" t="s">
        <v>191</v>
      </c>
    </row>
    <row r="10" customFormat="false" ht="15" hidden="false" customHeight="false" outlineLevel="0" collapsed="false">
      <c r="A10" s="9" t="s">
        <v>192</v>
      </c>
      <c r="B10" s="26" t="n">
        <v>1100</v>
      </c>
      <c r="C10" s="26" t="n">
        <v>1800</v>
      </c>
      <c r="D10" s="26" t="n">
        <v>3500</v>
      </c>
      <c r="E10" s="9" t="s">
        <v>193</v>
      </c>
    </row>
    <row r="11" customFormat="false" ht="15" hidden="false" customHeight="false" outlineLevel="0" collapsed="false">
      <c r="A11" s="9" t="s">
        <v>194</v>
      </c>
      <c r="B11" s="26" t="n">
        <v>1300</v>
      </c>
      <c r="C11" s="26" t="n">
        <v>2200</v>
      </c>
      <c r="D11" s="26" t="n">
        <v>4200</v>
      </c>
      <c r="E11" s="9" t="s">
        <v>195</v>
      </c>
    </row>
    <row r="12" customFormat="false" ht="15" hidden="false" customHeight="false" outlineLevel="0" collapsed="false">
      <c r="A12" s="9" t="s">
        <v>196</v>
      </c>
      <c r="B12" s="26" t="n">
        <v>1500</v>
      </c>
      <c r="C12" s="26" t="n">
        <v>2500</v>
      </c>
      <c r="D12" s="26" t="n">
        <v>4800</v>
      </c>
      <c r="E12" s="9" t="s">
        <v>197</v>
      </c>
    </row>
    <row r="13" customFormat="false" ht="15" hidden="false" customHeight="false" outlineLevel="0" collapsed="false">
      <c r="A13" s="9" t="s">
        <v>198</v>
      </c>
      <c r="B13" s="26" t="n">
        <v>1700</v>
      </c>
      <c r="C13" s="26" t="n">
        <v>2800</v>
      </c>
      <c r="D13" s="26" t="n">
        <v>5400</v>
      </c>
      <c r="E13" s="9" t="s">
        <v>199</v>
      </c>
    </row>
    <row r="14" customFormat="false" ht="15" hidden="false" customHeight="false" outlineLevel="0" collapsed="false">
      <c r="A14" s="9" t="s">
        <v>200</v>
      </c>
      <c r="B14" s="26" t="n">
        <v>1850</v>
      </c>
      <c r="C14" s="26" t="n">
        <v>3050</v>
      </c>
      <c r="D14" s="26" t="n">
        <v>5800</v>
      </c>
      <c r="E14" s="9" t="s">
        <v>201</v>
      </c>
    </row>
    <row r="15" customFormat="false" ht="15" hidden="false" customHeight="false" outlineLevel="0" collapsed="false">
      <c r="A15" s="9" t="s">
        <v>202</v>
      </c>
      <c r="B15" s="26" t="n">
        <v>1950</v>
      </c>
      <c r="C15" s="26" t="n">
        <v>3250</v>
      </c>
      <c r="D15" s="26" t="n">
        <v>6000</v>
      </c>
      <c r="E15" s="9" t="s">
        <v>203</v>
      </c>
    </row>
    <row r="16" customFormat="false" ht="15" hidden="false" customHeight="false" outlineLevel="0" collapsed="false">
      <c r="A16" s="9" t="s">
        <v>204</v>
      </c>
      <c r="B16" s="26" t="n">
        <v>2000</v>
      </c>
      <c r="C16" s="26" t="n">
        <v>3500</v>
      </c>
      <c r="D16" s="26" t="n">
        <v>6200</v>
      </c>
      <c r="E16" s="9" t="s">
        <v>205</v>
      </c>
    </row>
    <row r="17" customFormat="false" ht="15" hidden="false" customHeight="false" outlineLevel="0" collapsed="false">
      <c r="A17" s="21" t="s">
        <v>206</v>
      </c>
      <c r="B17" s="27" t="n">
        <f aca="false">SUM(B5:B16)</f>
        <v>13950</v>
      </c>
      <c r="C17" s="27" t="n">
        <f aca="false">SUM(C5:C16)</f>
        <v>23550</v>
      </c>
      <c r="D17" s="27" t="n">
        <f aca="false">SUM(D5:D16)</f>
        <v>43800</v>
      </c>
      <c r="E17" s="21"/>
    </row>
    <row r="18" customFormat="false" ht="15" hidden="false" customHeight="false" outlineLevel="0" collapsed="false">
      <c r="A18" s="7" t="s">
        <v>207</v>
      </c>
      <c r="B18" s="28" t="n">
        <f aca="false">B17/12/26</f>
        <v>44.7115384615385</v>
      </c>
      <c r="C18" s="28" t="n">
        <f aca="false">C17/12/26</f>
        <v>75.4807692307692</v>
      </c>
      <c r="D18" s="28" t="n">
        <f aca="false">D17/12/26</f>
        <v>140.384615384615</v>
      </c>
      <c r="E18" s="7" t="s">
        <v>208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8"/>
  </cols>
  <sheetData>
    <row r="1" customFormat="false" ht="25.5" hidden="false" customHeight="true" outlineLevel="0" collapsed="false">
      <c r="A1" s="15" t="s">
        <v>209</v>
      </c>
      <c r="B1" s="15"/>
      <c r="C1" s="15"/>
      <c r="D1" s="15"/>
    </row>
    <row r="3" customFormat="false" ht="15" hidden="false" customHeight="false" outlineLevel="0" collapsed="false">
      <c r="A3" s="6" t="s">
        <v>210</v>
      </c>
      <c r="B3" s="6" t="s">
        <v>211</v>
      </c>
      <c r="C3" s="6" t="s">
        <v>212</v>
      </c>
      <c r="D3" s="6" t="s">
        <v>213</v>
      </c>
    </row>
    <row r="4" customFormat="false" ht="15" hidden="false" customHeight="false" outlineLevel="0" collapsed="false">
      <c r="A4" s="9" t="s">
        <v>214</v>
      </c>
      <c r="B4" s="11" t="n">
        <f aca="false">'01_Inputs'!C17*(1+'01_Inputs'!C14)</f>
        <v>0</v>
      </c>
      <c r="C4" s="11" t="n">
        <f aca="false">'01_Inputs'!C17*(1+'01_Inputs'!C14)</f>
        <v>0</v>
      </c>
      <c r="D4" s="11" t="n">
        <f aca="false">'01_Inputs'!C17*(1+'01_Inputs'!C14)</f>
        <v>0</v>
      </c>
    </row>
    <row r="5" customFormat="false" ht="15" hidden="false" customHeight="false" outlineLevel="0" collapsed="false">
      <c r="A5" s="9" t="s">
        <v>215</v>
      </c>
      <c r="B5" s="11" t="n">
        <f aca="false">'01_Inputs'!C15*(1+'01_Inputs'!C14)</f>
        <v>1982.25</v>
      </c>
      <c r="C5" s="11" t="n">
        <v>0</v>
      </c>
      <c r="D5" s="11" t="n">
        <v>0</v>
      </c>
    </row>
    <row r="6" customFormat="false" ht="15" hidden="false" customHeight="false" outlineLevel="0" collapsed="false">
      <c r="A6" s="9" t="s">
        <v>216</v>
      </c>
      <c r="B6" s="11" t="n">
        <f aca="false">'01_Inputs'!C16*(1+'01_Inputs'!C14)</f>
        <v>1613.5515</v>
      </c>
      <c r="C6" s="11" t="n">
        <f aca="false">'01_Inputs'!C16*(1+'01_Inputs'!C14)</f>
        <v>1613.5515</v>
      </c>
      <c r="D6" s="11" t="n">
        <f aca="false">'01_Inputs'!C16*(1+'01_Inputs'!C14)</f>
        <v>1613.5515</v>
      </c>
    </row>
    <row r="7" customFormat="false" ht="15" hidden="false" customHeight="false" outlineLevel="0" collapsed="false">
      <c r="A7" s="9" t="s">
        <v>217</v>
      </c>
      <c r="B7" s="11" t="n">
        <f aca="false">'01_Inputs'!C19</f>
        <v>80</v>
      </c>
      <c r="C7" s="11" t="n">
        <f aca="false">'01_Inputs'!C19</f>
        <v>80</v>
      </c>
      <c r="D7" s="11" t="n">
        <f aca="false">'01_Inputs'!C19</f>
        <v>80</v>
      </c>
    </row>
    <row r="8" customFormat="false" ht="15" hidden="false" customHeight="false" outlineLevel="0" collapsed="false">
      <c r="A8" s="9" t="s">
        <v>152</v>
      </c>
      <c r="B8" s="11" t="s">
        <v>218</v>
      </c>
      <c r="C8" s="11" t="s">
        <v>219</v>
      </c>
      <c r="D8" s="11" t="s">
        <v>220</v>
      </c>
    </row>
    <row r="9" customFormat="false" ht="15" hidden="false" customHeight="false" outlineLevel="0" collapsed="false">
      <c r="A9" s="9" t="s">
        <v>221</v>
      </c>
      <c r="B9" s="11" t="s">
        <v>222</v>
      </c>
      <c r="C9" s="11" t="s">
        <v>223</v>
      </c>
      <c r="D9" s="11" t="s">
        <v>224</v>
      </c>
    </row>
    <row r="10" customFormat="false" ht="15" hidden="false" customHeight="false" outlineLevel="0" collapsed="false">
      <c r="A10" s="9" t="s">
        <v>225</v>
      </c>
      <c r="B10" s="11" t="s">
        <v>226</v>
      </c>
      <c r="C10" s="11" t="s">
        <v>227</v>
      </c>
      <c r="D10" s="11" t="s">
        <v>228</v>
      </c>
    </row>
    <row r="11" customFormat="false" ht="15" hidden="false" customHeight="false" outlineLevel="0" collapsed="false">
      <c r="A11" s="9" t="s">
        <v>106</v>
      </c>
      <c r="B11" s="11" t="n">
        <f aca="false">'01_Inputs'!C21</f>
        <v>70</v>
      </c>
      <c r="C11" s="11" t="n">
        <f aca="false">'01_Inputs'!C21</f>
        <v>70</v>
      </c>
      <c r="D11" s="11" t="n">
        <f aca="false">'01_Inputs'!C21</f>
        <v>70</v>
      </c>
    </row>
    <row r="12" customFormat="false" ht="15" hidden="false" customHeight="false" outlineLevel="0" collapsed="false">
      <c r="A12" s="9" t="s">
        <v>103</v>
      </c>
      <c r="B12" s="11" t="n">
        <f aca="false">'01_Inputs'!C20</f>
        <v>300</v>
      </c>
      <c r="C12" s="11" t="n">
        <f aca="false">'01_Inputs'!C20</f>
        <v>300</v>
      </c>
      <c r="D12" s="11" t="n">
        <f aca="false">'01_Inputs'!C20</f>
        <v>300</v>
      </c>
    </row>
    <row r="13" customFormat="false" ht="15" hidden="false" customHeight="false" outlineLevel="0" collapsed="false">
      <c r="A13" s="9" t="s">
        <v>108</v>
      </c>
      <c r="B13" s="11" t="n">
        <f aca="false">'01_Inputs'!C22</f>
        <v>100</v>
      </c>
      <c r="C13" s="11" t="n">
        <f aca="false">'01_Inputs'!C22</f>
        <v>100</v>
      </c>
      <c r="D13" s="11" t="s">
        <v>223</v>
      </c>
    </row>
    <row r="14" customFormat="false" ht="15" hidden="false" customHeight="false" outlineLevel="0" collapsed="false">
      <c r="A14" s="9" t="s">
        <v>110</v>
      </c>
      <c r="B14" s="11" t="s">
        <v>229</v>
      </c>
      <c r="C14" s="11" t="n">
        <f aca="false">'01_Inputs'!C23</f>
        <v>350</v>
      </c>
      <c r="D14" s="11" t="s">
        <v>230</v>
      </c>
    </row>
    <row r="15" customFormat="false" ht="15" hidden="false" customHeight="false" outlineLevel="0" collapsed="false">
      <c r="A15" s="9" t="s">
        <v>231</v>
      </c>
      <c r="B15" s="11" t="s">
        <v>224</v>
      </c>
      <c r="C15" s="11" t="n">
        <f aca="false">'01_Inputs'!C24</f>
        <v>300</v>
      </c>
      <c r="D15" s="11" t="s">
        <v>232</v>
      </c>
    </row>
    <row r="16" customFormat="false" ht="15" hidden="false" customHeight="false" outlineLevel="0" collapsed="false">
      <c r="A16" s="9" t="s">
        <v>233</v>
      </c>
      <c r="B16" s="11" t="s">
        <v>234</v>
      </c>
      <c r="C16" s="11" t="n">
        <f aca="false">'01_Inputs'!C25</f>
        <v>100</v>
      </c>
      <c r="D16" s="11" t="s">
        <v>228</v>
      </c>
    </row>
    <row r="17" customFormat="false" ht="15" hidden="false" customHeight="false" outlineLevel="0" collapsed="false">
      <c r="A17" s="9" t="s">
        <v>116</v>
      </c>
      <c r="B17" s="11" t="n">
        <f aca="false">'01_Inputs'!C26</f>
        <v>100</v>
      </c>
      <c r="C17" s="11" t="n">
        <f aca="false">'01_Inputs'!C26</f>
        <v>100</v>
      </c>
      <c r="D17" s="11" t="n">
        <f aca="false">'01_Inputs'!C26</f>
        <v>100</v>
      </c>
    </row>
    <row r="18" customFormat="false" ht="15" hidden="false" customHeight="false" outlineLevel="0" collapsed="false">
      <c r="A18" s="9" t="s">
        <v>118</v>
      </c>
      <c r="B18" s="11" t="s">
        <v>235</v>
      </c>
      <c r="C18" s="11" t="n">
        <f aca="false">'01_Inputs'!C27</f>
        <v>120</v>
      </c>
      <c r="D18" s="11" t="s">
        <v>223</v>
      </c>
    </row>
    <row r="19" customFormat="false" ht="15" hidden="false" customHeight="false" outlineLevel="0" collapsed="false">
      <c r="A19" s="21" t="s">
        <v>236</v>
      </c>
      <c r="B19" s="12" t="n">
        <f aca="false">SUM(B4:B18)</f>
        <v>4245.8015</v>
      </c>
      <c r="C19" s="12" t="n">
        <f aca="false">SUM(C4:C18)</f>
        <v>3133.5515</v>
      </c>
      <c r="D19" s="12" t="n">
        <f aca="false">SUM(D4:D18)</f>
        <v>2163.5515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8"/>
  </cols>
  <sheetData>
    <row r="1" customFormat="false" ht="25.5" hidden="false" customHeight="true" outlineLevel="0" collapsed="false">
      <c r="A1" s="15" t="s">
        <v>237</v>
      </c>
      <c r="B1" s="15"/>
      <c r="C1" s="15"/>
      <c r="D1" s="15"/>
    </row>
    <row r="3" customFormat="false" ht="15" hidden="false" customHeight="false" outlineLevel="0" collapsed="false">
      <c r="A3" s="6" t="s">
        <v>210</v>
      </c>
      <c r="B3" s="6" t="s">
        <v>238</v>
      </c>
      <c r="C3" s="6" t="s">
        <v>239</v>
      </c>
      <c r="D3" s="6" t="s">
        <v>26</v>
      </c>
    </row>
    <row r="4" customFormat="false" ht="15" hidden="false" customHeight="false" outlineLevel="0" collapsed="false">
      <c r="A4" s="9" t="s">
        <v>120</v>
      </c>
      <c r="B4" s="29" t="n">
        <f aca="false">'01_Inputs'!C28</f>
        <v>400</v>
      </c>
      <c r="C4" s="9" t="s">
        <v>240</v>
      </c>
      <c r="D4" s="9" t="s">
        <v>121</v>
      </c>
    </row>
    <row r="5" customFormat="false" ht="15" hidden="false" customHeight="false" outlineLevel="0" collapsed="false">
      <c r="A5" s="9" t="s">
        <v>122</v>
      </c>
      <c r="B5" s="29" t="n">
        <f aca="false">'01_Inputs'!C29</f>
        <v>64.25</v>
      </c>
      <c r="C5" s="9" t="s">
        <v>240</v>
      </c>
      <c r="D5" s="9" t="s">
        <v>241</v>
      </c>
    </row>
    <row r="6" customFormat="false" ht="15" hidden="false" customHeight="false" outlineLevel="0" collapsed="false">
      <c r="A6" s="9" t="s">
        <v>242</v>
      </c>
      <c r="B6" s="29" t="n">
        <f aca="false">'01_Inputs'!C30</f>
        <v>350</v>
      </c>
      <c r="C6" s="9" t="s">
        <v>243</v>
      </c>
      <c r="D6" s="9" t="s">
        <v>244</v>
      </c>
    </row>
    <row r="7" customFormat="false" ht="15" hidden="false" customHeight="false" outlineLevel="0" collapsed="false">
      <c r="A7" s="9" t="s">
        <v>245</v>
      </c>
      <c r="B7" s="29" t="n">
        <f aca="false">'01_Inputs'!C31</f>
        <v>500</v>
      </c>
      <c r="C7" s="9" t="s">
        <v>243</v>
      </c>
      <c r="D7" s="9" t="s">
        <v>246</v>
      </c>
    </row>
    <row r="8" customFormat="false" ht="15" hidden="false" customHeight="false" outlineLevel="0" collapsed="false">
      <c r="A8" s="9" t="s">
        <v>128</v>
      </c>
      <c r="B8" s="29" t="n">
        <f aca="false">'01_Inputs'!C32</f>
        <v>200</v>
      </c>
      <c r="C8" s="9" t="s">
        <v>243</v>
      </c>
      <c r="D8" s="9" t="s">
        <v>129</v>
      </c>
    </row>
    <row r="9" customFormat="false" ht="15" hidden="false" customHeight="false" outlineLevel="0" collapsed="false">
      <c r="A9" s="9" t="s">
        <v>247</v>
      </c>
      <c r="B9" s="29" t="n">
        <f aca="false">'01_Inputs'!C33</f>
        <v>2500</v>
      </c>
      <c r="C9" s="9" t="s">
        <v>248</v>
      </c>
      <c r="D9" s="9" t="s">
        <v>249</v>
      </c>
    </row>
    <row r="10" customFormat="false" ht="15" hidden="false" customHeight="false" outlineLevel="0" collapsed="false">
      <c r="A10" s="9" t="s">
        <v>250</v>
      </c>
      <c r="B10" s="29" t="n">
        <f aca="false">'01_Inputs'!C34</f>
        <v>800</v>
      </c>
      <c r="C10" s="9" t="s">
        <v>243</v>
      </c>
      <c r="D10" s="9" t="s">
        <v>251</v>
      </c>
    </row>
    <row r="11" customFormat="false" ht="15" hidden="false" customHeight="false" outlineLevel="0" collapsed="false">
      <c r="A11" s="9" t="s">
        <v>252</v>
      </c>
      <c r="B11" s="29" t="n">
        <f aca="false">'01_Inputs'!C35</f>
        <v>1000</v>
      </c>
      <c r="C11" s="9" t="s">
        <v>253</v>
      </c>
      <c r="D11" s="9" t="s">
        <v>254</v>
      </c>
    </row>
    <row r="12" customFormat="false" ht="15" hidden="false" customHeight="false" outlineLevel="0" collapsed="false">
      <c r="A12" s="9" t="s">
        <v>255</v>
      </c>
      <c r="B12" s="29" t="n">
        <f aca="false">'01_Inputs'!C36</f>
        <v>600</v>
      </c>
      <c r="C12" s="9" t="s">
        <v>184</v>
      </c>
      <c r="D12" s="9" t="s">
        <v>256</v>
      </c>
    </row>
    <row r="13" customFormat="false" ht="15" hidden="false" customHeight="false" outlineLevel="0" collapsed="false">
      <c r="A13" s="9" t="s">
        <v>257</v>
      </c>
      <c r="B13" s="29" t="n">
        <f aca="false">'01_Inputs'!C37</f>
        <v>3000</v>
      </c>
      <c r="C13" s="9" t="s">
        <v>258</v>
      </c>
      <c r="D13" s="9" t="s">
        <v>139</v>
      </c>
    </row>
    <row r="14" customFormat="false" ht="15" hidden="false" customHeight="false" outlineLevel="0" collapsed="false">
      <c r="A14" s="9" t="s">
        <v>140</v>
      </c>
      <c r="B14" s="29" t="n">
        <f aca="false">'01_Inputs'!C38</f>
        <v>15000</v>
      </c>
      <c r="C14" s="9" t="s">
        <v>240</v>
      </c>
      <c r="D14" s="9" t="s">
        <v>141</v>
      </c>
    </row>
    <row r="15" customFormat="false" ht="15" hidden="false" customHeight="false" outlineLevel="0" collapsed="false">
      <c r="A15" s="21" t="s">
        <v>259</v>
      </c>
      <c r="B15" s="12" t="n">
        <f aca="false">SUM(B4:B14)</f>
        <v>24414.25</v>
      </c>
      <c r="C15" s="21"/>
      <c r="D15" s="21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7" min="3" style="0" width="14"/>
    <col collapsed="false" customWidth="true" hidden="false" outlineLevel="0" max="8" min="8" style="0" width="16"/>
  </cols>
  <sheetData>
    <row r="1" customFormat="false" ht="25.5" hidden="false" customHeight="true" outlineLevel="0" collapsed="false">
      <c r="A1" s="15" t="s">
        <v>260</v>
      </c>
      <c r="B1" s="15"/>
      <c r="C1" s="15"/>
      <c r="D1" s="15"/>
      <c r="E1" s="15"/>
      <c r="F1" s="15"/>
      <c r="G1" s="15"/>
      <c r="H1" s="15"/>
    </row>
    <row r="3" customFormat="false" ht="15" hidden="false" customHeight="false" outlineLevel="0" collapsed="false">
      <c r="A3" s="6" t="s">
        <v>178</v>
      </c>
      <c r="B3" s="6" t="s">
        <v>261</v>
      </c>
      <c r="C3" s="6" t="s">
        <v>31</v>
      </c>
      <c r="D3" s="6" t="s">
        <v>262</v>
      </c>
      <c r="E3" s="6" t="s">
        <v>263</v>
      </c>
      <c r="F3" s="6" t="s">
        <v>264</v>
      </c>
      <c r="G3" s="6" t="s">
        <v>265</v>
      </c>
      <c r="H3" s="6" t="s">
        <v>266</v>
      </c>
    </row>
    <row r="4" customFormat="false" ht="15" hidden="false" customHeight="false" outlineLevel="0" collapsed="false">
      <c r="A4" s="9" t="str">
        <f aca="false">"M"&amp;1</f>
        <v>M1</v>
      </c>
      <c r="B4" s="30" t="n">
        <f aca="false">'04_Production Ramp'!B5</f>
        <v>150</v>
      </c>
      <c r="C4" s="10" t="n">
        <f aca="false">'03_Sales Mix'!C12</f>
        <v>6.125</v>
      </c>
      <c r="D4" s="11" t="n">
        <f aca="false">B4*C4</f>
        <v>918.75</v>
      </c>
      <c r="E4" s="11" t="n">
        <f aca="false">B4*'02_Unit Economics'!$D$12</f>
        <v>227.1</v>
      </c>
      <c r="F4" s="11" t="n">
        <f aca="false">'05_OPEX Monthly'!B19</f>
        <v>4245.8015</v>
      </c>
      <c r="G4" s="29" t="n">
        <f aca="false">D4-E4-F4</f>
        <v>-3554.1515</v>
      </c>
      <c r="H4" s="29" t="n">
        <f aca="false">G4</f>
        <v>-3554.1515</v>
      </c>
    </row>
    <row r="5" customFormat="false" ht="15" hidden="false" customHeight="false" outlineLevel="0" collapsed="false">
      <c r="A5" s="9" t="str">
        <f aca="false">"M"&amp;2</f>
        <v>M2</v>
      </c>
      <c r="B5" s="30" t="n">
        <f aca="false">'04_Production Ramp'!B6</f>
        <v>300</v>
      </c>
      <c r="C5" s="10" t="n">
        <f aca="false">'03_Sales Mix'!C12</f>
        <v>6.125</v>
      </c>
      <c r="D5" s="11" t="n">
        <f aca="false">B5*C5</f>
        <v>1837.5</v>
      </c>
      <c r="E5" s="11" t="n">
        <f aca="false">B5*'02_Unit Economics'!$D$12</f>
        <v>454.2</v>
      </c>
      <c r="F5" s="11" t="n">
        <f aca="false">'05_OPEX Monthly'!B19</f>
        <v>4245.8015</v>
      </c>
      <c r="G5" s="29" t="n">
        <f aca="false">D5-E5-F5</f>
        <v>-2862.5015</v>
      </c>
      <c r="H5" s="29" t="n">
        <f aca="false">H4+G5</f>
        <v>-6416.653</v>
      </c>
    </row>
    <row r="6" customFormat="false" ht="15" hidden="false" customHeight="false" outlineLevel="0" collapsed="false">
      <c r="A6" s="9" t="str">
        <f aca="false">"M"&amp;3</f>
        <v>M3</v>
      </c>
      <c r="B6" s="30" t="n">
        <f aca="false">'04_Production Ramp'!B7</f>
        <v>500</v>
      </c>
      <c r="C6" s="10" t="n">
        <f aca="false">'03_Sales Mix'!C12</f>
        <v>6.125</v>
      </c>
      <c r="D6" s="11" t="n">
        <f aca="false">B6*C6</f>
        <v>3062.5</v>
      </c>
      <c r="E6" s="11" t="n">
        <f aca="false">B6*'02_Unit Economics'!$D$12</f>
        <v>757</v>
      </c>
      <c r="F6" s="11" t="n">
        <f aca="false">'05_OPEX Monthly'!B19</f>
        <v>4245.8015</v>
      </c>
      <c r="G6" s="29" t="n">
        <f aca="false">D6-E6-F6</f>
        <v>-1940.3015</v>
      </c>
      <c r="H6" s="29" t="n">
        <f aca="false">H5+G6</f>
        <v>-8356.9545</v>
      </c>
    </row>
    <row r="7" customFormat="false" ht="15" hidden="false" customHeight="false" outlineLevel="0" collapsed="false">
      <c r="A7" s="9" t="str">
        <f aca="false">"M"&amp;4</f>
        <v>M4</v>
      </c>
      <c r="B7" s="30" t="n">
        <f aca="false">'04_Production Ramp'!B8</f>
        <v>700</v>
      </c>
      <c r="C7" s="10" t="n">
        <f aca="false">'03_Sales Mix'!C12</f>
        <v>6.125</v>
      </c>
      <c r="D7" s="11" t="n">
        <f aca="false">B7*C7</f>
        <v>4287.5</v>
      </c>
      <c r="E7" s="11" t="n">
        <f aca="false">B7*'02_Unit Economics'!$D$12</f>
        <v>1059.8</v>
      </c>
      <c r="F7" s="11" t="n">
        <f aca="false">'05_OPEX Monthly'!B19</f>
        <v>4245.8015</v>
      </c>
      <c r="G7" s="29" t="n">
        <f aca="false">D7-E7-F7</f>
        <v>-1018.1015</v>
      </c>
      <c r="H7" s="29" t="n">
        <f aca="false">H6+G7</f>
        <v>-9375.056</v>
      </c>
    </row>
    <row r="8" customFormat="false" ht="15" hidden="false" customHeight="false" outlineLevel="0" collapsed="false">
      <c r="A8" s="9" t="str">
        <f aca="false">"M"&amp;5</f>
        <v>M5</v>
      </c>
      <c r="B8" s="30" t="n">
        <f aca="false">'04_Production Ramp'!B9</f>
        <v>900</v>
      </c>
      <c r="C8" s="10" t="n">
        <f aca="false">'03_Sales Mix'!C12</f>
        <v>6.125</v>
      </c>
      <c r="D8" s="11" t="n">
        <f aca="false">B8*C8</f>
        <v>5512.5</v>
      </c>
      <c r="E8" s="11" t="n">
        <f aca="false">B8*'02_Unit Economics'!$D$12</f>
        <v>1362.6</v>
      </c>
      <c r="F8" s="11" t="n">
        <f aca="false">'05_OPEX Monthly'!B19</f>
        <v>4245.8015</v>
      </c>
      <c r="G8" s="29" t="n">
        <f aca="false">D8-E8-F8</f>
        <v>-95.9014999999999</v>
      </c>
      <c r="H8" s="29" t="n">
        <f aca="false">H7+G8</f>
        <v>-9470.9575</v>
      </c>
    </row>
    <row r="9" customFormat="false" ht="15" hidden="false" customHeight="false" outlineLevel="0" collapsed="false">
      <c r="A9" s="9" t="str">
        <f aca="false">"M"&amp;6</f>
        <v>M6</v>
      </c>
      <c r="B9" s="30" t="n">
        <f aca="false">'04_Production Ramp'!B10</f>
        <v>1100</v>
      </c>
      <c r="C9" s="10" t="n">
        <f aca="false">'03_Sales Mix'!C12</f>
        <v>6.125</v>
      </c>
      <c r="D9" s="11" t="n">
        <f aca="false">B9*C9</f>
        <v>6737.5</v>
      </c>
      <c r="E9" s="11" t="n">
        <f aca="false">B9*'02_Unit Economics'!$D$12</f>
        <v>1665.4</v>
      </c>
      <c r="F9" s="11" t="n">
        <f aca="false">'05_OPEX Monthly'!B19</f>
        <v>4245.8015</v>
      </c>
      <c r="G9" s="29" t="n">
        <f aca="false">D9-E9-F9</f>
        <v>826.298500000001</v>
      </c>
      <c r="H9" s="29" t="n">
        <f aca="false">H8+G9</f>
        <v>-8644.659</v>
      </c>
    </row>
    <row r="10" customFormat="false" ht="15" hidden="false" customHeight="false" outlineLevel="0" collapsed="false">
      <c r="A10" s="9" t="str">
        <f aca="false">"M"&amp;7</f>
        <v>M7</v>
      </c>
      <c r="B10" s="30" t="n">
        <f aca="false">'04_Production Ramp'!B11</f>
        <v>1300</v>
      </c>
      <c r="C10" s="10" t="n">
        <f aca="false">'03_Sales Mix'!C12</f>
        <v>6.125</v>
      </c>
      <c r="D10" s="11" t="n">
        <f aca="false">B10*C10</f>
        <v>7962.5</v>
      </c>
      <c r="E10" s="11" t="n">
        <f aca="false">B10*'02_Unit Economics'!$D$12</f>
        <v>1968.2</v>
      </c>
      <c r="F10" s="11" t="n">
        <f aca="false">'05_OPEX Monthly'!B19</f>
        <v>4245.8015</v>
      </c>
      <c r="G10" s="29" t="n">
        <f aca="false">D10-E10-F10</f>
        <v>1748.4985</v>
      </c>
      <c r="H10" s="29" t="n">
        <f aca="false">H9+G10</f>
        <v>-6896.1605</v>
      </c>
    </row>
    <row r="11" customFormat="false" ht="15" hidden="false" customHeight="false" outlineLevel="0" collapsed="false">
      <c r="A11" s="9" t="str">
        <f aca="false">"M"&amp;8</f>
        <v>M8</v>
      </c>
      <c r="B11" s="30" t="n">
        <f aca="false">'04_Production Ramp'!B12</f>
        <v>1500</v>
      </c>
      <c r="C11" s="10" t="n">
        <f aca="false">'03_Sales Mix'!C12</f>
        <v>6.125</v>
      </c>
      <c r="D11" s="11" t="n">
        <f aca="false">B11*C11</f>
        <v>9187.5</v>
      </c>
      <c r="E11" s="11" t="n">
        <f aca="false">B11*'02_Unit Economics'!$D$12</f>
        <v>2271</v>
      </c>
      <c r="F11" s="11" t="n">
        <f aca="false">'05_OPEX Monthly'!B19</f>
        <v>4245.8015</v>
      </c>
      <c r="G11" s="29" t="n">
        <f aca="false">D11-E11-F11</f>
        <v>2670.6985</v>
      </c>
      <c r="H11" s="29" t="n">
        <f aca="false">H10+G11</f>
        <v>-4225.462</v>
      </c>
    </row>
    <row r="12" customFormat="false" ht="15" hidden="false" customHeight="false" outlineLevel="0" collapsed="false">
      <c r="A12" s="9" t="str">
        <f aca="false">"M"&amp;9</f>
        <v>M9</v>
      </c>
      <c r="B12" s="30" t="n">
        <f aca="false">'04_Production Ramp'!B13</f>
        <v>1700</v>
      </c>
      <c r="C12" s="10" t="n">
        <f aca="false">'03_Sales Mix'!C12</f>
        <v>6.125</v>
      </c>
      <c r="D12" s="11" t="n">
        <f aca="false">B12*C12</f>
        <v>10412.5</v>
      </c>
      <c r="E12" s="11" t="n">
        <f aca="false">B12*'02_Unit Economics'!$D$12</f>
        <v>2573.8</v>
      </c>
      <c r="F12" s="11" t="n">
        <f aca="false">'05_OPEX Monthly'!B19</f>
        <v>4245.8015</v>
      </c>
      <c r="G12" s="29" t="n">
        <f aca="false">D12-E12-F12</f>
        <v>3592.8985</v>
      </c>
      <c r="H12" s="29" t="n">
        <f aca="false">H11+G12</f>
        <v>-632.563499999994</v>
      </c>
    </row>
    <row r="13" customFormat="false" ht="15" hidden="false" customHeight="false" outlineLevel="0" collapsed="false">
      <c r="A13" s="9" t="str">
        <f aca="false">"M"&amp;10</f>
        <v>M10</v>
      </c>
      <c r="B13" s="30" t="n">
        <f aca="false">'04_Production Ramp'!B14</f>
        <v>1850</v>
      </c>
      <c r="C13" s="10" t="n">
        <f aca="false">'03_Sales Mix'!C12</f>
        <v>6.125</v>
      </c>
      <c r="D13" s="11" t="n">
        <f aca="false">B13*C13</f>
        <v>11331.25</v>
      </c>
      <c r="E13" s="11" t="n">
        <f aca="false">B13*'02_Unit Economics'!$D$12</f>
        <v>2800.9</v>
      </c>
      <c r="F13" s="11" t="n">
        <f aca="false">'05_OPEX Monthly'!B19</f>
        <v>4245.8015</v>
      </c>
      <c r="G13" s="29" t="n">
        <f aca="false">D13-E13-F13</f>
        <v>4284.5485</v>
      </c>
      <c r="H13" s="29" t="n">
        <f aca="false">H12+G13</f>
        <v>3651.98500000001</v>
      </c>
    </row>
    <row r="14" customFormat="false" ht="15" hidden="false" customHeight="false" outlineLevel="0" collapsed="false">
      <c r="A14" s="9" t="str">
        <f aca="false">"M"&amp;11</f>
        <v>M11</v>
      </c>
      <c r="B14" s="30" t="n">
        <f aca="false">'04_Production Ramp'!B15</f>
        <v>1950</v>
      </c>
      <c r="C14" s="10" t="n">
        <f aca="false">'03_Sales Mix'!C12</f>
        <v>6.125</v>
      </c>
      <c r="D14" s="11" t="n">
        <f aca="false">B14*C14</f>
        <v>11943.75</v>
      </c>
      <c r="E14" s="11" t="n">
        <f aca="false">B14*'02_Unit Economics'!$D$12</f>
        <v>2952.3</v>
      </c>
      <c r="F14" s="11" t="n">
        <f aca="false">'05_OPEX Monthly'!B19</f>
        <v>4245.8015</v>
      </c>
      <c r="G14" s="29" t="n">
        <f aca="false">D14-E14-F14</f>
        <v>4745.6485</v>
      </c>
      <c r="H14" s="29" t="n">
        <f aca="false">H13+G14</f>
        <v>8397.63350000001</v>
      </c>
    </row>
    <row r="15" customFormat="false" ht="15" hidden="false" customHeight="false" outlineLevel="0" collapsed="false">
      <c r="A15" s="9" t="str">
        <f aca="false">"M"&amp;12</f>
        <v>M12</v>
      </c>
      <c r="B15" s="30" t="n">
        <f aca="false">'04_Production Ramp'!B16</f>
        <v>2000</v>
      </c>
      <c r="C15" s="10" t="n">
        <f aca="false">'03_Sales Mix'!C12</f>
        <v>6.125</v>
      </c>
      <c r="D15" s="11" t="n">
        <f aca="false">B15*C15</f>
        <v>12250</v>
      </c>
      <c r="E15" s="11" t="n">
        <f aca="false">B15*'02_Unit Economics'!$D$12</f>
        <v>3028</v>
      </c>
      <c r="F15" s="11" t="n">
        <f aca="false">'05_OPEX Monthly'!B19</f>
        <v>4245.8015</v>
      </c>
      <c r="G15" s="29" t="n">
        <f aca="false">D15-E15-F15</f>
        <v>4976.1985</v>
      </c>
      <c r="H15" s="29" t="n">
        <f aca="false">H14+G15</f>
        <v>13373.832</v>
      </c>
    </row>
    <row r="16" customFormat="false" ht="15" hidden="false" customHeight="false" outlineLevel="0" collapsed="false">
      <c r="A16" s="21" t="s">
        <v>267</v>
      </c>
      <c r="B16" s="27" t="n">
        <f aca="false">SUM(B4:B15)</f>
        <v>13950</v>
      </c>
      <c r="C16" s="21"/>
      <c r="D16" s="12" t="n">
        <f aca="false">SUM(D4:D15)</f>
        <v>85443.75</v>
      </c>
      <c r="E16" s="12" t="n">
        <f aca="false">SUM(E4:E15)</f>
        <v>21120.3</v>
      </c>
      <c r="F16" s="12" t="n">
        <f aca="false">SUM(F4:F15)</f>
        <v>50949.618</v>
      </c>
      <c r="G16" s="12" t="n">
        <f aca="false">SUM(G4:G15)</f>
        <v>13373.832</v>
      </c>
      <c r="H16" s="12" t="n">
        <f aca="false">H15</f>
        <v>13373.832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7" min="3" style="0" width="14"/>
    <col collapsed="false" customWidth="true" hidden="false" outlineLevel="0" max="8" min="8" style="0" width="16"/>
  </cols>
  <sheetData>
    <row r="1" customFormat="false" ht="25.5" hidden="false" customHeight="true" outlineLevel="0" collapsed="false">
      <c r="A1" s="15" t="s">
        <v>268</v>
      </c>
      <c r="B1" s="15"/>
      <c r="C1" s="15"/>
      <c r="D1" s="15"/>
      <c r="E1" s="15"/>
      <c r="F1" s="15"/>
      <c r="G1" s="15"/>
      <c r="H1" s="15"/>
    </row>
    <row r="3" customFormat="false" ht="15" hidden="false" customHeight="false" outlineLevel="0" collapsed="false">
      <c r="A3" s="6" t="s">
        <v>178</v>
      </c>
      <c r="B3" s="6" t="s">
        <v>261</v>
      </c>
      <c r="C3" s="6" t="s">
        <v>31</v>
      </c>
      <c r="D3" s="6" t="s">
        <v>262</v>
      </c>
      <c r="E3" s="6" t="s">
        <v>263</v>
      </c>
      <c r="F3" s="6" t="s">
        <v>264</v>
      </c>
      <c r="G3" s="6" t="s">
        <v>265</v>
      </c>
      <c r="H3" s="6" t="s">
        <v>266</v>
      </c>
    </row>
    <row r="4" customFormat="false" ht="15" hidden="false" customHeight="false" outlineLevel="0" collapsed="false">
      <c r="A4" s="9" t="str">
        <f aca="false">"M"&amp;1</f>
        <v>M1</v>
      </c>
      <c r="B4" s="30" t="n">
        <f aca="false">'04_Production Ramp'!C5</f>
        <v>250</v>
      </c>
      <c r="C4" s="10" t="n">
        <f aca="false">'03_Sales Mix'!D12</f>
        <v>5.655</v>
      </c>
      <c r="D4" s="11" t="n">
        <f aca="false">B4*C4</f>
        <v>1413.75</v>
      </c>
      <c r="E4" s="11" t="n">
        <f aca="false">B4*'02_Unit Economics'!$D$12</f>
        <v>378.5</v>
      </c>
      <c r="F4" s="11" t="n">
        <f aca="false">'05_OPEX Monthly'!C19</f>
        <v>3133.5515</v>
      </c>
      <c r="G4" s="29" t="n">
        <f aca="false">D4-E4-F4</f>
        <v>-2098.3015</v>
      </c>
      <c r="H4" s="29" t="n">
        <f aca="false">G4</f>
        <v>-2098.3015</v>
      </c>
    </row>
    <row r="5" customFormat="false" ht="15" hidden="false" customHeight="false" outlineLevel="0" collapsed="false">
      <c r="A5" s="9" t="str">
        <f aca="false">"M"&amp;2</f>
        <v>M2</v>
      </c>
      <c r="B5" s="30" t="n">
        <f aca="false">'04_Production Ramp'!C6</f>
        <v>500</v>
      </c>
      <c r="C5" s="10" t="n">
        <f aca="false">'03_Sales Mix'!D12</f>
        <v>5.655</v>
      </c>
      <c r="D5" s="11" t="n">
        <f aca="false">B5*C5</f>
        <v>2827.5</v>
      </c>
      <c r="E5" s="11" t="n">
        <f aca="false">B5*'02_Unit Economics'!$D$12</f>
        <v>757</v>
      </c>
      <c r="F5" s="11" t="n">
        <f aca="false">'05_OPEX Monthly'!C19</f>
        <v>3133.5515</v>
      </c>
      <c r="G5" s="29" t="n">
        <f aca="false">D5-E5-F5</f>
        <v>-1063.0515</v>
      </c>
      <c r="H5" s="29" t="n">
        <f aca="false">H4+G5</f>
        <v>-3161.353</v>
      </c>
    </row>
    <row r="6" customFormat="false" ht="15" hidden="false" customHeight="false" outlineLevel="0" collapsed="false">
      <c r="A6" s="9" t="str">
        <f aca="false">"M"&amp;3</f>
        <v>M3</v>
      </c>
      <c r="B6" s="30" t="n">
        <f aca="false">'04_Production Ramp'!C7</f>
        <v>900</v>
      </c>
      <c r="C6" s="10" t="n">
        <f aca="false">'03_Sales Mix'!D12</f>
        <v>5.655</v>
      </c>
      <c r="D6" s="11" t="n">
        <f aca="false">B6*C6</f>
        <v>5089.5</v>
      </c>
      <c r="E6" s="11" t="n">
        <f aca="false">B6*'02_Unit Economics'!$D$12</f>
        <v>1362.6</v>
      </c>
      <c r="F6" s="11" t="n">
        <f aca="false">'05_OPEX Monthly'!C19</f>
        <v>3133.5515</v>
      </c>
      <c r="G6" s="29" t="n">
        <f aca="false">D6-E6-F6</f>
        <v>593.348500000001</v>
      </c>
      <c r="H6" s="29" t="n">
        <f aca="false">H5+G6</f>
        <v>-2568.0045</v>
      </c>
    </row>
    <row r="7" customFormat="false" ht="15" hidden="false" customHeight="false" outlineLevel="0" collapsed="false">
      <c r="A7" s="9" t="str">
        <f aca="false">"M"&amp;4</f>
        <v>M4</v>
      </c>
      <c r="B7" s="30" t="n">
        <f aca="false">'04_Production Ramp'!C8</f>
        <v>1300</v>
      </c>
      <c r="C7" s="10" t="n">
        <f aca="false">'03_Sales Mix'!D12</f>
        <v>5.655</v>
      </c>
      <c r="D7" s="11" t="n">
        <f aca="false">B7*C7</f>
        <v>7351.5</v>
      </c>
      <c r="E7" s="11" t="n">
        <f aca="false">B7*'02_Unit Economics'!$D$12</f>
        <v>1968.2</v>
      </c>
      <c r="F7" s="11" t="n">
        <f aca="false">'05_OPEX Monthly'!C19</f>
        <v>3133.5515</v>
      </c>
      <c r="G7" s="29" t="n">
        <f aca="false">D7-E7-F7</f>
        <v>2249.7485</v>
      </c>
      <c r="H7" s="29" t="n">
        <f aca="false">H6+G7</f>
        <v>-318.255999999998</v>
      </c>
    </row>
    <row r="8" customFormat="false" ht="15" hidden="false" customHeight="false" outlineLevel="0" collapsed="false">
      <c r="A8" s="9" t="str">
        <f aca="false">"M"&amp;5</f>
        <v>M5</v>
      </c>
      <c r="B8" s="30" t="n">
        <f aca="false">'04_Production Ramp'!C9</f>
        <v>1500</v>
      </c>
      <c r="C8" s="10" t="n">
        <f aca="false">'03_Sales Mix'!D12</f>
        <v>5.655</v>
      </c>
      <c r="D8" s="11" t="n">
        <f aca="false">B8*C8</f>
        <v>8482.5</v>
      </c>
      <c r="E8" s="11" t="n">
        <f aca="false">B8*'02_Unit Economics'!$D$12</f>
        <v>2271</v>
      </c>
      <c r="F8" s="11" t="n">
        <f aca="false">'05_OPEX Monthly'!C19</f>
        <v>3133.5515</v>
      </c>
      <c r="G8" s="29" t="n">
        <f aca="false">D8-E8-F8</f>
        <v>3077.9485</v>
      </c>
      <c r="H8" s="29" t="n">
        <f aca="false">H7+G8</f>
        <v>2759.6925</v>
      </c>
    </row>
    <row r="9" customFormat="false" ht="15" hidden="false" customHeight="false" outlineLevel="0" collapsed="false">
      <c r="A9" s="9" t="str">
        <f aca="false">"M"&amp;6</f>
        <v>M6</v>
      </c>
      <c r="B9" s="30" t="n">
        <f aca="false">'04_Production Ramp'!C10</f>
        <v>1800</v>
      </c>
      <c r="C9" s="10" t="n">
        <f aca="false">'03_Sales Mix'!D12</f>
        <v>5.655</v>
      </c>
      <c r="D9" s="11" t="n">
        <f aca="false">B9*C9</f>
        <v>10179</v>
      </c>
      <c r="E9" s="11" t="n">
        <f aca="false">B9*'02_Unit Economics'!$D$12</f>
        <v>2725.2</v>
      </c>
      <c r="F9" s="11" t="n">
        <f aca="false">'05_OPEX Monthly'!C19</f>
        <v>3133.5515</v>
      </c>
      <c r="G9" s="29" t="n">
        <f aca="false">D9-E9-F9</f>
        <v>4320.2485</v>
      </c>
      <c r="H9" s="29" t="n">
        <f aca="false">H8+G9</f>
        <v>7079.941</v>
      </c>
    </row>
    <row r="10" customFormat="false" ht="15" hidden="false" customHeight="false" outlineLevel="0" collapsed="false">
      <c r="A10" s="9" t="str">
        <f aca="false">"M"&amp;7</f>
        <v>M7</v>
      </c>
      <c r="B10" s="30" t="n">
        <f aca="false">'04_Production Ramp'!C11</f>
        <v>2200</v>
      </c>
      <c r="C10" s="10" t="n">
        <f aca="false">'03_Sales Mix'!D12</f>
        <v>5.655</v>
      </c>
      <c r="D10" s="11" t="n">
        <f aca="false">B10*C10</f>
        <v>12441</v>
      </c>
      <c r="E10" s="11" t="n">
        <f aca="false">B10*'02_Unit Economics'!$D$12</f>
        <v>3330.8</v>
      </c>
      <c r="F10" s="11" t="n">
        <f aca="false">'05_OPEX Monthly'!C19</f>
        <v>3133.5515</v>
      </c>
      <c r="G10" s="29" t="n">
        <f aca="false">D10-E10-F10</f>
        <v>5976.6485</v>
      </c>
      <c r="H10" s="29" t="n">
        <f aca="false">H9+G10</f>
        <v>13056.5895</v>
      </c>
    </row>
    <row r="11" customFormat="false" ht="15" hidden="false" customHeight="false" outlineLevel="0" collapsed="false">
      <c r="A11" s="9" t="str">
        <f aca="false">"M"&amp;8</f>
        <v>M8</v>
      </c>
      <c r="B11" s="30" t="n">
        <f aca="false">'04_Production Ramp'!C12</f>
        <v>2500</v>
      </c>
      <c r="C11" s="10" t="n">
        <f aca="false">'03_Sales Mix'!D12</f>
        <v>5.655</v>
      </c>
      <c r="D11" s="11" t="n">
        <f aca="false">B11*C11</f>
        <v>14137.5</v>
      </c>
      <c r="E11" s="11" t="n">
        <f aca="false">B11*'02_Unit Economics'!$D$12</f>
        <v>3785</v>
      </c>
      <c r="F11" s="11" t="n">
        <f aca="false">'05_OPEX Monthly'!C19</f>
        <v>3133.5515</v>
      </c>
      <c r="G11" s="29" t="n">
        <f aca="false">D11-E11-F11</f>
        <v>7218.9485</v>
      </c>
      <c r="H11" s="29" t="n">
        <f aca="false">H10+G11</f>
        <v>20275.538</v>
      </c>
    </row>
    <row r="12" customFormat="false" ht="15" hidden="false" customHeight="false" outlineLevel="0" collapsed="false">
      <c r="A12" s="9" t="str">
        <f aca="false">"M"&amp;9</f>
        <v>M9</v>
      </c>
      <c r="B12" s="30" t="n">
        <f aca="false">'04_Production Ramp'!C13</f>
        <v>2800</v>
      </c>
      <c r="C12" s="10" t="n">
        <f aca="false">'03_Sales Mix'!D12</f>
        <v>5.655</v>
      </c>
      <c r="D12" s="11" t="n">
        <f aca="false">B12*C12</f>
        <v>15834</v>
      </c>
      <c r="E12" s="11" t="n">
        <f aca="false">B12*'02_Unit Economics'!$D$12</f>
        <v>4239.2</v>
      </c>
      <c r="F12" s="11" t="n">
        <f aca="false">'05_OPEX Monthly'!C19</f>
        <v>3133.5515</v>
      </c>
      <c r="G12" s="29" t="n">
        <f aca="false">D12-E12-F12</f>
        <v>8461.2485</v>
      </c>
      <c r="H12" s="29" t="n">
        <f aca="false">H11+G12</f>
        <v>28736.7865</v>
      </c>
    </row>
    <row r="13" customFormat="false" ht="15" hidden="false" customHeight="false" outlineLevel="0" collapsed="false">
      <c r="A13" s="9" t="str">
        <f aca="false">"M"&amp;10</f>
        <v>M10</v>
      </c>
      <c r="B13" s="30" t="n">
        <f aca="false">'04_Production Ramp'!C14</f>
        <v>3050</v>
      </c>
      <c r="C13" s="10" t="n">
        <f aca="false">'03_Sales Mix'!D12</f>
        <v>5.655</v>
      </c>
      <c r="D13" s="11" t="n">
        <f aca="false">B13*C13</f>
        <v>17247.75</v>
      </c>
      <c r="E13" s="11" t="n">
        <f aca="false">B13*'02_Unit Economics'!$D$12</f>
        <v>4617.7</v>
      </c>
      <c r="F13" s="11" t="n">
        <f aca="false">'05_OPEX Monthly'!C19</f>
        <v>3133.5515</v>
      </c>
      <c r="G13" s="29" t="n">
        <f aca="false">D13-E13-F13</f>
        <v>9496.4985</v>
      </c>
      <c r="H13" s="29" t="n">
        <f aca="false">H12+G13</f>
        <v>38233.285</v>
      </c>
    </row>
    <row r="14" customFormat="false" ht="15" hidden="false" customHeight="false" outlineLevel="0" collapsed="false">
      <c r="A14" s="9" t="str">
        <f aca="false">"M"&amp;11</f>
        <v>M11</v>
      </c>
      <c r="B14" s="30" t="n">
        <f aca="false">'04_Production Ramp'!C15</f>
        <v>3250</v>
      </c>
      <c r="C14" s="10" t="n">
        <f aca="false">'03_Sales Mix'!D12</f>
        <v>5.655</v>
      </c>
      <c r="D14" s="11" t="n">
        <f aca="false">B14*C14</f>
        <v>18378.75</v>
      </c>
      <c r="E14" s="11" t="n">
        <f aca="false">B14*'02_Unit Economics'!$D$12</f>
        <v>4920.5</v>
      </c>
      <c r="F14" s="11" t="n">
        <f aca="false">'05_OPEX Monthly'!C19</f>
        <v>3133.5515</v>
      </c>
      <c r="G14" s="29" t="n">
        <f aca="false">D14-E14-F14</f>
        <v>10324.6985</v>
      </c>
      <c r="H14" s="29" t="n">
        <f aca="false">H13+G14</f>
        <v>48557.9835</v>
      </c>
    </row>
    <row r="15" customFormat="false" ht="15" hidden="false" customHeight="false" outlineLevel="0" collapsed="false">
      <c r="A15" s="9" t="str">
        <f aca="false">"M"&amp;12</f>
        <v>M12</v>
      </c>
      <c r="B15" s="30" t="n">
        <f aca="false">'04_Production Ramp'!C16</f>
        <v>3500</v>
      </c>
      <c r="C15" s="10" t="n">
        <f aca="false">'03_Sales Mix'!D12</f>
        <v>5.655</v>
      </c>
      <c r="D15" s="11" t="n">
        <f aca="false">B15*C15</f>
        <v>19792.5</v>
      </c>
      <c r="E15" s="11" t="n">
        <f aca="false">B15*'02_Unit Economics'!$D$12</f>
        <v>5299</v>
      </c>
      <c r="F15" s="11" t="n">
        <f aca="false">'05_OPEX Monthly'!C19</f>
        <v>3133.5515</v>
      </c>
      <c r="G15" s="29" t="n">
        <f aca="false">D15-E15-F15</f>
        <v>11359.9485</v>
      </c>
      <c r="H15" s="29" t="n">
        <f aca="false">H14+G15</f>
        <v>59917.932</v>
      </c>
    </row>
    <row r="16" customFormat="false" ht="15" hidden="false" customHeight="false" outlineLevel="0" collapsed="false">
      <c r="A16" s="21" t="s">
        <v>267</v>
      </c>
      <c r="B16" s="27" t="n">
        <f aca="false">SUM(B4:B15)</f>
        <v>23550</v>
      </c>
      <c r="C16" s="21"/>
      <c r="D16" s="12" t="n">
        <f aca="false">SUM(D4:D15)</f>
        <v>133175.25</v>
      </c>
      <c r="E16" s="12" t="n">
        <f aca="false">SUM(E4:E15)</f>
        <v>35654.7</v>
      </c>
      <c r="F16" s="12" t="n">
        <f aca="false">SUM(F4:F15)</f>
        <v>37602.618</v>
      </c>
      <c r="G16" s="12" t="n">
        <f aca="false">SUM(G4:G15)</f>
        <v>59917.932</v>
      </c>
      <c r="H16" s="12" t="n">
        <f aca="false">H15</f>
        <v>59917.932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7" min="3" style="0" width="14"/>
    <col collapsed="false" customWidth="true" hidden="false" outlineLevel="0" max="8" min="8" style="0" width="16"/>
  </cols>
  <sheetData>
    <row r="1" customFormat="false" ht="25.5" hidden="false" customHeight="true" outlineLevel="0" collapsed="false">
      <c r="A1" s="15" t="s">
        <v>269</v>
      </c>
      <c r="B1" s="15"/>
      <c r="C1" s="15"/>
      <c r="D1" s="15"/>
      <c r="E1" s="15"/>
      <c r="F1" s="15"/>
      <c r="G1" s="15"/>
      <c r="H1" s="15"/>
    </row>
    <row r="3" customFormat="false" ht="15" hidden="false" customHeight="false" outlineLevel="0" collapsed="false">
      <c r="A3" s="6" t="s">
        <v>178</v>
      </c>
      <c r="B3" s="6" t="s">
        <v>261</v>
      </c>
      <c r="C3" s="6" t="s">
        <v>31</v>
      </c>
      <c r="D3" s="6" t="s">
        <v>262</v>
      </c>
      <c r="E3" s="6" t="s">
        <v>263</v>
      </c>
      <c r="F3" s="6" t="s">
        <v>264</v>
      </c>
      <c r="G3" s="6" t="s">
        <v>265</v>
      </c>
      <c r="H3" s="6" t="s">
        <v>266</v>
      </c>
    </row>
    <row r="4" customFormat="false" ht="15" hidden="false" customHeight="false" outlineLevel="0" collapsed="false">
      <c r="A4" s="9" t="str">
        <f aca="false">"M"&amp;1</f>
        <v>M1</v>
      </c>
      <c r="B4" s="30" t="n">
        <f aca="false">'04_Production Ramp'!D5</f>
        <v>500</v>
      </c>
      <c r="C4" s="10" t="n">
        <f aca="false">'03_Sales Mix'!E12</f>
        <v>5.125</v>
      </c>
      <c r="D4" s="11" t="n">
        <f aca="false">B4*C4</f>
        <v>2562.5</v>
      </c>
      <c r="E4" s="11" t="n">
        <f aca="false">B4*'02_Unit Economics'!$D$12</f>
        <v>757</v>
      </c>
      <c r="F4" s="11" t="n">
        <f aca="false">'05_OPEX Monthly'!D19</f>
        <v>2163.5515</v>
      </c>
      <c r="G4" s="29" t="n">
        <f aca="false">D4-E4-F4</f>
        <v>-358.0515</v>
      </c>
      <c r="H4" s="29" t="n">
        <f aca="false">G4</f>
        <v>-358.0515</v>
      </c>
    </row>
    <row r="5" customFormat="false" ht="15" hidden="false" customHeight="false" outlineLevel="0" collapsed="false">
      <c r="A5" s="9" t="str">
        <f aca="false">"M"&amp;2</f>
        <v>M2</v>
      </c>
      <c r="B5" s="30" t="n">
        <f aca="false">'04_Production Ramp'!D6</f>
        <v>900</v>
      </c>
      <c r="C5" s="10" t="n">
        <f aca="false">'03_Sales Mix'!E12</f>
        <v>5.125</v>
      </c>
      <c r="D5" s="11" t="n">
        <f aca="false">B5*C5</f>
        <v>4612.5</v>
      </c>
      <c r="E5" s="11" t="n">
        <f aca="false">B5*'02_Unit Economics'!$D$12</f>
        <v>1362.6</v>
      </c>
      <c r="F5" s="11" t="n">
        <f aca="false">'05_OPEX Monthly'!D19</f>
        <v>2163.5515</v>
      </c>
      <c r="G5" s="29" t="n">
        <f aca="false">D5-E5-F5</f>
        <v>1086.3485</v>
      </c>
      <c r="H5" s="29" t="n">
        <f aca="false">H4+G5</f>
        <v>728.297000000001</v>
      </c>
    </row>
    <row r="6" customFormat="false" ht="15" hidden="false" customHeight="false" outlineLevel="0" collapsed="false">
      <c r="A6" s="9" t="str">
        <f aca="false">"M"&amp;3</f>
        <v>M3</v>
      </c>
      <c r="B6" s="30" t="n">
        <f aca="false">'04_Production Ramp'!D7</f>
        <v>1500</v>
      </c>
      <c r="C6" s="10" t="n">
        <f aca="false">'03_Sales Mix'!E12</f>
        <v>5.125</v>
      </c>
      <c r="D6" s="11" t="n">
        <f aca="false">B6*C6</f>
        <v>7687.5</v>
      </c>
      <c r="E6" s="11" t="n">
        <f aca="false">B6*'02_Unit Economics'!$D$12</f>
        <v>2271</v>
      </c>
      <c r="F6" s="11" t="n">
        <f aca="false">'05_OPEX Monthly'!D19</f>
        <v>2163.5515</v>
      </c>
      <c r="G6" s="29" t="n">
        <f aca="false">D6-E6-F6</f>
        <v>3252.9485</v>
      </c>
      <c r="H6" s="29" t="n">
        <f aca="false">H5+G6</f>
        <v>3981.2455</v>
      </c>
    </row>
    <row r="7" customFormat="false" ht="15" hidden="false" customHeight="false" outlineLevel="0" collapsed="false">
      <c r="A7" s="9" t="str">
        <f aca="false">"M"&amp;4</f>
        <v>M4</v>
      </c>
      <c r="B7" s="30" t="n">
        <f aca="false">'04_Production Ramp'!D8</f>
        <v>2200</v>
      </c>
      <c r="C7" s="10" t="n">
        <f aca="false">'03_Sales Mix'!E12</f>
        <v>5.125</v>
      </c>
      <c r="D7" s="11" t="n">
        <f aca="false">B7*C7</f>
        <v>11275</v>
      </c>
      <c r="E7" s="11" t="n">
        <f aca="false">B7*'02_Unit Economics'!$D$12</f>
        <v>3330.8</v>
      </c>
      <c r="F7" s="11" t="n">
        <f aca="false">'05_OPEX Monthly'!D19</f>
        <v>2163.5515</v>
      </c>
      <c r="G7" s="29" t="n">
        <f aca="false">D7-E7-F7</f>
        <v>5780.6485</v>
      </c>
      <c r="H7" s="29" t="n">
        <f aca="false">H6+G7</f>
        <v>9761.894</v>
      </c>
    </row>
    <row r="8" customFormat="false" ht="15" hidden="false" customHeight="false" outlineLevel="0" collapsed="false">
      <c r="A8" s="9" t="str">
        <f aca="false">"M"&amp;5</f>
        <v>M5</v>
      </c>
      <c r="B8" s="30" t="n">
        <f aca="false">'04_Production Ramp'!D9</f>
        <v>2800</v>
      </c>
      <c r="C8" s="10" t="n">
        <f aca="false">'03_Sales Mix'!E12</f>
        <v>5.125</v>
      </c>
      <c r="D8" s="11" t="n">
        <f aca="false">B8*C8</f>
        <v>14350</v>
      </c>
      <c r="E8" s="11" t="n">
        <f aca="false">B8*'02_Unit Economics'!$D$12</f>
        <v>4239.2</v>
      </c>
      <c r="F8" s="11" t="n">
        <f aca="false">'05_OPEX Monthly'!D19</f>
        <v>2163.5515</v>
      </c>
      <c r="G8" s="29" t="n">
        <f aca="false">D8-E8-F8</f>
        <v>7947.2485</v>
      </c>
      <c r="H8" s="29" t="n">
        <f aca="false">H7+G8</f>
        <v>17709.1425</v>
      </c>
    </row>
    <row r="9" customFormat="false" ht="15" hidden="false" customHeight="false" outlineLevel="0" collapsed="false">
      <c r="A9" s="9" t="str">
        <f aca="false">"M"&amp;6</f>
        <v>M6</v>
      </c>
      <c r="B9" s="30" t="n">
        <f aca="false">'04_Production Ramp'!D10</f>
        <v>3500</v>
      </c>
      <c r="C9" s="10" t="n">
        <f aca="false">'03_Sales Mix'!E12</f>
        <v>5.125</v>
      </c>
      <c r="D9" s="11" t="n">
        <f aca="false">B9*C9</f>
        <v>17937.5</v>
      </c>
      <c r="E9" s="11" t="n">
        <f aca="false">B9*'02_Unit Economics'!$D$12</f>
        <v>5299</v>
      </c>
      <c r="F9" s="11" t="n">
        <f aca="false">'05_OPEX Monthly'!D19</f>
        <v>2163.5515</v>
      </c>
      <c r="G9" s="29" t="n">
        <f aca="false">D9-E9-F9</f>
        <v>10474.9485</v>
      </c>
      <c r="H9" s="29" t="n">
        <f aca="false">H8+G9</f>
        <v>28184.091</v>
      </c>
    </row>
    <row r="10" customFormat="false" ht="15" hidden="false" customHeight="false" outlineLevel="0" collapsed="false">
      <c r="A10" s="9" t="str">
        <f aca="false">"M"&amp;7</f>
        <v>M7</v>
      </c>
      <c r="B10" s="30" t="n">
        <f aca="false">'04_Production Ramp'!D11</f>
        <v>4200</v>
      </c>
      <c r="C10" s="10" t="n">
        <f aca="false">'03_Sales Mix'!E12</f>
        <v>5.125</v>
      </c>
      <c r="D10" s="11" t="n">
        <f aca="false">B10*C10</f>
        <v>21525</v>
      </c>
      <c r="E10" s="11" t="n">
        <f aca="false">B10*'02_Unit Economics'!$D$12</f>
        <v>6358.8</v>
      </c>
      <c r="F10" s="11" t="n">
        <f aca="false">'05_OPEX Monthly'!D19</f>
        <v>2163.5515</v>
      </c>
      <c r="G10" s="29" t="n">
        <f aca="false">D10-E10-F10</f>
        <v>13002.6485</v>
      </c>
      <c r="H10" s="29" t="n">
        <f aca="false">H9+G10</f>
        <v>41186.7395</v>
      </c>
    </row>
    <row r="11" customFormat="false" ht="15" hidden="false" customHeight="false" outlineLevel="0" collapsed="false">
      <c r="A11" s="9" t="str">
        <f aca="false">"M"&amp;8</f>
        <v>M8</v>
      </c>
      <c r="B11" s="30" t="n">
        <f aca="false">'04_Production Ramp'!D12</f>
        <v>4800</v>
      </c>
      <c r="C11" s="10" t="n">
        <f aca="false">'03_Sales Mix'!E12</f>
        <v>5.125</v>
      </c>
      <c r="D11" s="11" t="n">
        <f aca="false">B11*C11</f>
        <v>24600</v>
      </c>
      <c r="E11" s="11" t="n">
        <f aca="false">B11*'02_Unit Economics'!$D$12</f>
        <v>7267.2</v>
      </c>
      <c r="F11" s="11" t="n">
        <f aca="false">'05_OPEX Monthly'!D19</f>
        <v>2163.5515</v>
      </c>
      <c r="G11" s="29" t="n">
        <f aca="false">D11-E11-F11</f>
        <v>15169.2485</v>
      </c>
      <c r="H11" s="29" t="n">
        <f aca="false">H10+G11</f>
        <v>56355.988</v>
      </c>
    </row>
    <row r="12" customFormat="false" ht="15" hidden="false" customHeight="false" outlineLevel="0" collapsed="false">
      <c r="A12" s="9" t="str">
        <f aca="false">"M"&amp;9</f>
        <v>M9</v>
      </c>
      <c r="B12" s="30" t="n">
        <f aca="false">'04_Production Ramp'!D13</f>
        <v>5400</v>
      </c>
      <c r="C12" s="10" t="n">
        <f aca="false">'03_Sales Mix'!E12</f>
        <v>5.125</v>
      </c>
      <c r="D12" s="11" t="n">
        <f aca="false">B12*C12</f>
        <v>27675</v>
      </c>
      <c r="E12" s="11" t="n">
        <f aca="false">B12*'02_Unit Economics'!$D$12</f>
        <v>8175.6</v>
      </c>
      <c r="F12" s="11" t="n">
        <f aca="false">'05_OPEX Monthly'!D19</f>
        <v>2163.5515</v>
      </c>
      <c r="G12" s="29" t="n">
        <f aca="false">D12-E12-F12</f>
        <v>17335.8485</v>
      </c>
      <c r="H12" s="29" t="n">
        <f aca="false">H11+G12</f>
        <v>73691.8365</v>
      </c>
    </row>
    <row r="13" customFormat="false" ht="15" hidden="false" customHeight="false" outlineLevel="0" collapsed="false">
      <c r="A13" s="9" t="str">
        <f aca="false">"M"&amp;10</f>
        <v>M10</v>
      </c>
      <c r="B13" s="30" t="n">
        <f aca="false">'04_Production Ramp'!D14</f>
        <v>5800</v>
      </c>
      <c r="C13" s="10" t="n">
        <f aca="false">'03_Sales Mix'!E12</f>
        <v>5.125</v>
      </c>
      <c r="D13" s="11" t="n">
        <f aca="false">B13*C13</f>
        <v>29725</v>
      </c>
      <c r="E13" s="11" t="n">
        <f aca="false">B13*'02_Unit Economics'!$D$12</f>
        <v>8781.2</v>
      </c>
      <c r="F13" s="11" t="n">
        <f aca="false">'05_OPEX Monthly'!D19</f>
        <v>2163.5515</v>
      </c>
      <c r="G13" s="29" t="n">
        <f aca="false">D13-E13-F13</f>
        <v>18780.2485</v>
      </c>
      <c r="H13" s="29" t="n">
        <f aca="false">H12+G13</f>
        <v>92472.085</v>
      </c>
    </row>
    <row r="14" customFormat="false" ht="15" hidden="false" customHeight="false" outlineLevel="0" collapsed="false">
      <c r="A14" s="9" t="str">
        <f aca="false">"M"&amp;11</f>
        <v>M11</v>
      </c>
      <c r="B14" s="30" t="n">
        <f aca="false">'04_Production Ramp'!D15</f>
        <v>6000</v>
      </c>
      <c r="C14" s="10" t="n">
        <f aca="false">'03_Sales Mix'!E12</f>
        <v>5.125</v>
      </c>
      <c r="D14" s="11" t="n">
        <f aca="false">B14*C14</f>
        <v>30750</v>
      </c>
      <c r="E14" s="11" t="n">
        <f aca="false">B14*'02_Unit Economics'!$D$12</f>
        <v>9084</v>
      </c>
      <c r="F14" s="11" t="n">
        <f aca="false">'05_OPEX Monthly'!D19</f>
        <v>2163.5515</v>
      </c>
      <c r="G14" s="29" t="n">
        <f aca="false">D14-E14-F14</f>
        <v>19502.4485</v>
      </c>
      <c r="H14" s="29" t="n">
        <f aca="false">H13+G14</f>
        <v>111974.5335</v>
      </c>
    </row>
    <row r="15" customFormat="false" ht="15" hidden="false" customHeight="false" outlineLevel="0" collapsed="false">
      <c r="A15" s="9" t="str">
        <f aca="false">"M"&amp;12</f>
        <v>M12</v>
      </c>
      <c r="B15" s="30" t="n">
        <f aca="false">'04_Production Ramp'!D16</f>
        <v>6200</v>
      </c>
      <c r="C15" s="10" t="n">
        <f aca="false">'03_Sales Mix'!E12</f>
        <v>5.125</v>
      </c>
      <c r="D15" s="11" t="n">
        <f aca="false">B15*C15</f>
        <v>31775</v>
      </c>
      <c r="E15" s="11" t="n">
        <f aca="false">B15*'02_Unit Economics'!$D$12</f>
        <v>9386.8</v>
      </c>
      <c r="F15" s="11" t="n">
        <f aca="false">'05_OPEX Monthly'!D19</f>
        <v>2163.5515</v>
      </c>
      <c r="G15" s="29" t="n">
        <f aca="false">D15-E15-F15</f>
        <v>20224.6485</v>
      </c>
      <c r="H15" s="29" t="n">
        <f aca="false">H14+G15</f>
        <v>132199.182</v>
      </c>
    </row>
    <row r="16" customFormat="false" ht="15" hidden="false" customHeight="false" outlineLevel="0" collapsed="false">
      <c r="A16" s="21" t="s">
        <v>267</v>
      </c>
      <c r="B16" s="27" t="n">
        <f aca="false">SUM(B4:B15)</f>
        <v>43800</v>
      </c>
      <c r="C16" s="21"/>
      <c r="D16" s="12" t="n">
        <f aca="false">SUM(D4:D15)</f>
        <v>224475</v>
      </c>
      <c r="E16" s="12" t="n">
        <f aca="false">SUM(E4:E15)</f>
        <v>66313.2</v>
      </c>
      <c r="F16" s="12" t="n">
        <f aca="false">SUM(F4:F15)</f>
        <v>25962.618</v>
      </c>
      <c r="G16" s="12" t="n">
        <f aca="false">SUM(G4:G15)</f>
        <v>132199.182</v>
      </c>
      <c r="H16" s="12" t="n">
        <f aca="false">H15</f>
        <v>132199.182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6"/>
  </cols>
  <sheetData>
    <row r="1" customFormat="false" ht="25.5" hidden="false" customHeight="true" outlineLevel="0" collapsed="false">
      <c r="A1" s="15" t="s">
        <v>270</v>
      </c>
      <c r="B1" s="15"/>
      <c r="C1" s="15"/>
      <c r="D1" s="15"/>
    </row>
    <row r="3" customFormat="false" ht="15" hidden="false" customHeight="false" outlineLevel="0" collapsed="false">
      <c r="A3" s="6" t="s">
        <v>56</v>
      </c>
      <c r="B3" s="6" t="s">
        <v>23</v>
      </c>
      <c r="C3" s="6" t="s">
        <v>24</v>
      </c>
      <c r="D3" s="6" t="s">
        <v>25</v>
      </c>
    </row>
    <row r="4" customFormat="false" ht="15" hidden="false" customHeight="false" outlineLevel="0" collapsed="false">
      <c r="A4" s="7" t="s">
        <v>271</v>
      </c>
      <c r="B4" s="10" t="n">
        <f aca="false">'02_Unit Economics'!$D$12</f>
        <v>1.514</v>
      </c>
      <c r="C4" s="10" t="n">
        <f aca="false">'02_Unit Economics'!$D$12</f>
        <v>1.514</v>
      </c>
      <c r="D4" s="10" t="n">
        <f aca="false">'02_Unit Economics'!$D$12</f>
        <v>1.514</v>
      </c>
    </row>
    <row r="5" customFormat="false" ht="15" hidden="false" customHeight="false" outlineLevel="0" collapsed="false">
      <c r="A5" s="7" t="s">
        <v>176</v>
      </c>
      <c r="B5" s="10" t="n">
        <f aca="false">'03_Sales Mix'!C12</f>
        <v>6.125</v>
      </c>
      <c r="C5" s="10" t="n">
        <f aca="false">'03_Sales Mix'!D12</f>
        <v>5.655</v>
      </c>
      <c r="D5" s="10" t="n">
        <f aca="false">'03_Sales Mix'!E12</f>
        <v>5.125</v>
      </c>
    </row>
    <row r="6" customFormat="false" ht="15" hidden="false" customHeight="false" outlineLevel="0" collapsed="false">
      <c r="A6" s="7" t="s">
        <v>272</v>
      </c>
      <c r="B6" s="10" t="n">
        <f aca="false">B5-B4</f>
        <v>4.611</v>
      </c>
      <c r="C6" s="10" t="n">
        <f aca="false">C5-C4</f>
        <v>4.141</v>
      </c>
      <c r="D6" s="10" t="n">
        <f aca="false">D5-D4</f>
        <v>3.611</v>
      </c>
    </row>
    <row r="7" customFormat="false" ht="15" hidden="false" customHeight="false" outlineLevel="0" collapsed="false">
      <c r="A7" s="7" t="s">
        <v>273</v>
      </c>
      <c r="B7" s="11" t="n">
        <f aca="false">'05_OPEX Monthly'!B19</f>
        <v>4245.8015</v>
      </c>
      <c r="C7" s="11" t="n">
        <f aca="false">'05_OPEX Monthly'!C19</f>
        <v>3133.5515</v>
      </c>
      <c r="D7" s="11" t="n">
        <f aca="false">'05_OPEX Monthly'!D19</f>
        <v>2163.5515</v>
      </c>
    </row>
    <row r="8" customFormat="false" ht="15" hidden="false" customHeight="false" outlineLevel="0" collapsed="false">
      <c r="A8" s="7" t="s">
        <v>274</v>
      </c>
      <c r="B8" s="30" t="n">
        <f aca="false">B7/B6</f>
        <v>920.798416829321</v>
      </c>
      <c r="C8" s="30" t="n">
        <f aca="false">C7/C6</f>
        <v>756.713716493601</v>
      </c>
      <c r="D8" s="30" t="n">
        <f aca="false">D7/D6</f>
        <v>599.155774023816</v>
      </c>
    </row>
    <row r="9" customFormat="false" ht="15" hidden="false" customHeight="false" outlineLevel="0" collapsed="false">
      <c r="A9" s="7" t="s">
        <v>275</v>
      </c>
      <c r="B9" s="31" t="n">
        <f aca="false">B8/26</f>
        <v>35.4153237242047</v>
      </c>
      <c r="C9" s="31" t="n">
        <f aca="false">C8/26</f>
        <v>29.1043737112923</v>
      </c>
      <c r="D9" s="31" t="n">
        <f aca="false">D8/26</f>
        <v>23.0444528470698</v>
      </c>
    </row>
    <row r="10" customFormat="false" ht="15" hidden="false" customHeight="false" outlineLevel="0" collapsed="false">
      <c r="A10" s="7" t="s">
        <v>276</v>
      </c>
      <c r="B10" s="11" t="n">
        <f aca="false">B8*B5</f>
        <v>5639.89030307959</v>
      </c>
      <c r="C10" s="11" t="n">
        <f aca="false">C8*C5</f>
        <v>4279.21606677131</v>
      </c>
      <c r="D10" s="11" t="n">
        <f aca="false">D8*D5</f>
        <v>3070.67334187206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16"/>
    <col collapsed="false" customWidth="true" hidden="false" outlineLevel="0" max="8" min="8" style="0" width="2"/>
  </cols>
  <sheetData>
    <row r="1" customFormat="false" ht="25.5" hidden="false" customHeight="true" outlineLevel="0" collapsed="false">
      <c r="A1" s="15" t="s">
        <v>277</v>
      </c>
      <c r="B1" s="15"/>
      <c r="C1" s="15"/>
      <c r="D1" s="15"/>
      <c r="E1" s="15"/>
      <c r="F1" s="15"/>
      <c r="G1" s="15"/>
      <c r="H1" s="15"/>
    </row>
    <row r="3" customFormat="false" ht="23.85" hidden="false" customHeight="false" outlineLevel="0" collapsed="false">
      <c r="A3" s="6" t="s">
        <v>178</v>
      </c>
      <c r="B3" s="6" t="s">
        <v>278</v>
      </c>
      <c r="C3" s="6" t="s">
        <v>279</v>
      </c>
      <c r="D3" s="6" t="s">
        <v>280</v>
      </c>
      <c r="E3" s="6" t="s">
        <v>281</v>
      </c>
      <c r="F3" s="6" t="s">
        <v>282</v>
      </c>
      <c r="G3" s="6" t="s">
        <v>283</v>
      </c>
      <c r="H3" s="6"/>
    </row>
    <row r="4" customFormat="false" ht="15" hidden="false" customHeight="false" outlineLevel="0" collapsed="false">
      <c r="A4" s="32" t="s">
        <v>284</v>
      </c>
      <c r="B4" s="32"/>
      <c r="C4" s="33" t="n">
        <f aca="false">-'06_CAPEX'!B15</f>
        <v>-24414.25</v>
      </c>
      <c r="D4" s="32"/>
      <c r="E4" s="33" t="n">
        <f aca="false">-'06_CAPEX'!B15</f>
        <v>-24414.25</v>
      </c>
      <c r="F4" s="32"/>
      <c r="G4" s="33" t="n">
        <f aca="false">-'06_CAPEX'!B15</f>
        <v>-24414.25</v>
      </c>
      <c r="H4" s="32"/>
    </row>
    <row r="5" customFormat="false" ht="15" hidden="false" customHeight="false" outlineLevel="0" collapsed="false">
      <c r="A5" s="9" t="str">
        <f aca="false">"M"&amp;1</f>
        <v>M1</v>
      </c>
      <c r="B5" s="11" t="n">
        <f aca="false">'07_PL Пессимизм'!G4</f>
        <v>-3554.1515</v>
      </c>
      <c r="C5" s="11" t="n">
        <f aca="false">C4+B5</f>
        <v>-27968.4015</v>
      </c>
      <c r="D5" s="11" t="n">
        <f aca="false">'08_PL Реализм'!G4</f>
        <v>-2098.3015</v>
      </c>
      <c r="E5" s="11" t="n">
        <f aca="false">E4+D5</f>
        <v>-26512.5515</v>
      </c>
      <c r="F5" s="11" t="n">
        <f aca="false">'09_PL Суперопт'!G4</f>
        <v>-358.0515</v>
      </c>
      <c r="G5" s="11" t="n">
        <f aca="false">G4+F5</f>
        <v>-24772.3015</v>
      </c>
      <c r="H5" s="9"/>
    </row>
    <row r="6" customFormat="false" ht="15" hidden="false" customHeight="false" outlineLevel="0" collapsed="false">
      <c r="A6" s="9" t="str">
        <f aca="false">"M"&amp;2</f>
        <v>M2</v>
      </c>
      <c r="B6" s="11" t="n">
        <f aca="false">'07_PL Пессимизм'!G5</f>
        <v>-2862.5015</v>
      </c>
      <c r="C6" s="11" t="n">
        <f aca="false">C5+B6</f>
        <v>-30830.903</v>
      </c>
      <c r="D6" s="11" t="n">
        <f aca="false">'08_PL Реализм'!G5</f>
        <v>-1063.0515</v>
      </c>
      <c r="E6" s="11" t="n">
        <f aca="false">E5+D6</f>
        <v>-27575.603</v>
      </c>
      <c r="F6" s="11" t="n">
        <f aca="false">'09_PL Суперопт'!G5</f>
        <v>1086.3485</v>
      </c>
      <c r="G6" s="11" t="n">
        <f aca="false">G5+F6</f>
        <v>-23685.953</v>
      </c>
      <c r="H6" s="9"/>
    </row>
    <row r="7" customFormat="false" ht="15" hidden="false" customHeight="false" outlineLevel="0" collapsed="false">
      <c r="A7" s="9" t="str">
        <f aca="false">"M"&amp;3</f>
        <v>M3</v>
      </c>
      <c r="B7" s="11" t="n">
        <f aca="false">'07_PL Пессимизм'!G6</f>
        <v>-1940.3015</v>
      </c>
      <c r="C7" s="11" t="n">
        <f aca="false">C6+B7</f>
        <v>-32771.2045</v>
      </c>
      <c r="D7" s="11" t="n">
        <f aca="false">'08_PL Реализм'!G6</f>
        <v>593.348500000001</v>
      </c>
      <c r="E7" s="11" t="n">
        <f aca="false">E6+D7</f>
        <v>-26982.2545</v>
      </c>
      <c r="F7" s="11" t="n">
        <f aca="false">'09_PL Суперопт'!G6</f>
        <v>3252.9485</v>
      </c>
      <c r="G7" s="11" t="n">
        <f aca="false">G6+F7</f>
        <v>-20433.0045</v>
      </c>
      <c r="H7" s="9"/>
    </row>
    <row r="8" customFormat="false" ht="15" hidden="false" customHeight="false" outlineLevel="0" collapsed="false">
      <c r="A8" s="9" t="str">
        <f aca="false">"M"&amp;4</f>
        <v>M4</v>
      </c>
      <c r="B8" s="11" t="n">
        <f aca="false">'07_PL Пессимизм'!G7</f>
        <v>-1018.1015</v>
      </c>
      <c r="C8" s="11" t="n">
        <f aca="false">C7+B8</f>
        <v>-33789.306</v>
      </c>
      <c r="D8" s="11" t="n">
        <f aca="false">'08_PL Реализм'!G7</f>
        <v>2249.7485</v>
      </c>
      <c r="E8" s="11" t="n">
        <f aca="false">E7+D8</f>
        <v>-24732.506</v>
      </c>
      <c r="F8" s="11" t="n">
        <f aca="false">'09_PL Суперопт'!G7</f>
        <v>5780.6485</v>
      </c>
      <c r="G8" s="11" t="n">
        <f aca="false">G7+F8</f>
        <v>-14652.356</v>
      </c>
      <c r="H8" s="9"/>
    </row>
    <row r="9" customFormat="false" ht="15" hidden="false" customHeight="false" outlineLevel="0" collapsed="false">
      <c r="A9" s="9" t="str">
        <f aca="false">"M"&amp;5</f>
        <v>M5</v>
      </c>
      <c r="B9" s="11" t="n">
        <f aca="false">'07_PL Пессимизм'!G8</f>
        <v>-95.9014999999999</v>
      </c>
      <c r="C9" s="11" t="n">
        <f aca="false">C8+B9</f>
        <v>-33885.2075</v>
      </c>
      <c r="D9" s="11" t="n">
        <f aca="false">'08_PL Реализм'!G8</f>
        <v>3077.9485</v>
      </c>
      <c r="E9" s="11" t="n">
        <f aca="false">E8+D9</f>
        <v>-21654.5575</v>
      </c>
      <c r="F9" s="11" t="n">
        <f aca="false">'09_PL Суперопт'!G8</f>
        <v>7947.2485</v>
      </c>
      <c r="G9" s="11" t="n">
        <f aca="false">G8+F9</f>
        <v>-6705.1075</v>
      </c>
      <c r="H9" s="9"/>
    </row>
    <row r="10" customFormat="false" ht="15" hidden="false" customHeight="false" outlineLevel="0" collapsed="false">
      <c r="A10" s="9" t="str">
        <f aca="false">"M"&amp;6</f>
        <v>M6</v>
      </c>
      <c r="B10" s="11" t="n">
        <f aca="false">'07_PL Пессимизм'!G9</f>
        <v>826.298500000001</v>
      </c>
      <c r="C10" s="11" t="n">
        <f aca="false">C9+B10</f>
        <v>-33058.909</v>
      </c>
      <c r="D10" s="11" t="n">
        <f aca="false">'08_PL Реализм'!G9</f>
        <v>4320.2485</v>
      </c>
      <c r="E10" s="11" t="n">
        <f aca="false">E9+D10</f>
        <v>-17334.309</v>
      </c>
      <c r="F10" s="11" t="n">
        <f aca="false">'09_PL Суперопт'!G9</f>
        <v>10474.9485</v>
      </c>
      <c r="G10" s="11" t="n">
        <f aca="false">G9+F10</f>
        <v>3769.841</v>
      </c>
      <c r="H10" s="9"/>
    </row>
    <row r="11" customFormat="false" ht="15" hidden="false" customHeight="false" outlineLevel="0" collapsed="false">
      <c r="A11" s="9" t="str">
        <f aca="false">"M"&amp;7</f>
        <v>M7</v>
      </c>
      <c r="B11" s="11" t="n">
        <f aca="false">'07_PL Пессимизм'!G10</f>
        <v>1748.4985</v>
      </c>
      <c r="C11" s="11" t="n">
        <f aca="false">C10+B11</f>
        <v>-31310.4105</v>
      </c>
      <c r="D11" s="11" t="n">
        <f aca="false">'08_PL Реализм'!G10</f>
        <v>5976.6485</v>
      </c>
      <c r="E11" s="11" t="n">
        <f aca="false">E10+D11</f>
        <v>-11357.6605</v>
      </c>
      <c r="F11" s="11" t="n">
        <f aca="false">'09_PL Суперопт'!G10</f>
        <v>13002.6485</v>
      </c>
      <c r="G11" s="11" t="n">
        <f aca="false">G10+F11</f>
        <v>16772.4895</v>
      </c>
      <c r="H11" s="9"/>
    </row>
    <row r="12" customFormat="false" ht="15" hidden="false" customHeight="false" outlineLevel="0" collapsed="false">
      <c r="A12" s="9" t="str">
        <f aca="false">"M"&amp;8</f>
        <v>M8</v>
      </c>
      <c r="B12" s="11" t="n">
        <f aca="false">'07_PL Пессимизм'!G11</f>
        <v>2670.6985</v>
      </c>
      <c r="C12" s="11" t="n">
        <f aca="false">C11+B12</f>
        <v>-28639.712</v>
      </c>
      <c r="D12" s="11" t="n">
        <f aca="false">'08_PL Реализм'!G11</f>
        <v>7218.9485</v>
      </c>
      <c r="E12" s="11" t="n">
        <f aca="false">E11+D12</f>
        <v>-4138.712</v>
      </c>
      <c r="F12" s="11" t="n">
        <f aca="false">'09_PL Суперопт'!G11</f>
        <v>15169.2485</v>
      </c>
      <c r="G12" s="11" t="n">
        <f aca="false">G11+F12</f>
        <v>31941.738</v>
      </c>
      <c r="H12" s="9"/>
    </row>
    <row r="13" customFormat="false" ht="15" hidden="false" customHeight="false" outlineLevel="0" collapsed="false">
      <c r="A13" s="9" t="str">
        <f aca="false">"M"&amp;9</f>
        <v>M9</v>
      </c>
      <c r="B13" s="11" t="n">
        <f aca="false">'07_PL Пессимизм'!G12</f>
        <v>3592.8985</v>
      </c>
      <c r="C13" s="11" t="n">
        <f aca="false">C12+B13</f>
        <v>-25046.8135</v>
      </c>
      <c r="D13" s="11" t="n">
        <f aca="false">'08_PL Реализм'!G12</f>
        <v>8461.2485</v>
      </c>
      <c r="E13" s="11" t="n">
        <f aca="false">E12+D13</f>
        <v>4322.5365</v>
      </c>
      <c r="F13" s="11" t="n">
        <f aca="false">'09_PL Суперопт'!G12</f>
        <v>17335.8485</v>
      </c>
      <c r="G13" s="11" t="n">
        <f aca="false">G12+F13</f>
        <v>49277.5865</v>
      </c>
      <c r="H13" s="9"/>
    </row>
    <row r="14" customFormat="false" ht="15" hidden="false" customHeight="false" outlineLevel="0" collapsed="false">
      <c r="A14" s="9" t="str">
        <f aca="false">"M"&amp;10</f>
        <v>M10</v>
      </c>
      <c r="B14" s="11" t="n">
        <f aca="false">'07_PL Пессимизм'!G13</f>
        <v>4284.5485</v>
      </c>
      <c r="C14" s="11" t="n">
        <f aca="false">C13+B14</f>
        <v>-20762.265</v>
      </c>
      <c r="D14" s="11" t="n">
        <f aca="false">'08_PL Реализм'!G13</f>
        <v>9496.4985</v>
      </c>
      <c r="E14" s="11" t="n">
        <f aca="false">E13+D14</f>
        <v>13819.035</v>
      </c>
      <c r="F14" s="11" t="n">
        <f aca="false">'09_PL Суперопт'!G13</f>
        <v>18780.2485</v>
      </c>
      <c r="G14" s="11" t="n">
        <f aca="false">G13+F14</f>
        <v>68057.835</v>
      </c>
      <c r="H14" s="9"/>
    </row>
    <row r="15" customFormat="false" ht="15" hidden="false" customHeight="false" outlineLevel="0" collapsed="false">
      <c r="A15" s="9" t="str">
        <f aca="false">"M"&amp;11</f>
        <v>M11</v>
      </c>
      <c r="B15" s="11" t="n">
        <f aca="false">'07_PL Пессимизм'!G14</f>
        <v>4745.6485</v>
      </c>
      <c r="C15" s="11" t="n">
        <f aca="false">C14+B15</f>
        <v>-16016.6165</v>
      </c>
      <c r="D15" s="11" t="n">
        <f aca="false">'08_PL Реализм'!G14</f>
        <v>10324.6985</v>
      </c>
      <c r="E15" s="11" t="n">
        <f aca="false">E14+D15</f>
        <v>24143.7335</v>
      </c>
      <c r="F15" s="11" t="n">
        <f aca="false">'09_PL Суперопт'!G14</f>
        <v>19502.4485</v>
      </c>
      <c r="G15" s="11" t="n">
        <f aca="false">G14+F15</f>
        <v>87560.2835</v>
      </c>
      <c r="H15" s="9"/>
    </row>
    <row r="16" customFormat="false" ht="15" hidden="false" customHeight="false" outlineLevel="0" collapsed="false">
      <c r="A16" s="9" t="str">
        <f aca="false">"M"&amp;12</f>
        <v>M12</v>
      </c>
      <c r="B16" s="11" t="n">
        <f aca="false">'07_PL Пессимизм'!G15</f>
        <v>4976.1985</v>
      </c>
      <c r="C16" s="11" t="n">
        <f aca="false">C15+B16</f>
        <v>-11040.418</v>
      </c>
      <c r="D16" s="11" t="n">
        <f aca="false">'08_PL Реализм'!G15</f>
        <v>11359.9485</v>
      </c>
      <c r="E16" s="11" t="n">
        <f aca="false">E15+D16</f>
        <v>35503.682</v>
      </c>
      <c r="F16" s="11" t="n">
        <f aca="false">'09_PL Суперопт'!G15</f>
        <v>20224.6485</v>
      </c>
      <c r="G16" s="11" t="n">
        <f aca="false">G15+F16</f>
        <v>107784.932</v>
      </c>
      <c r="H16" s="9"/>
    </row>
  </sheetData>
  <mergeCells count="1">
    <mergeCell ref="A1:H1"/>
  </mergeCells>
  <conditionalFormatting sqref="C5:C16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conditionalFormatting sqref="E5:E16">
    <cfRule type="cellIs" priority="4" operator="lessThan" aboveAverage="0" equalAverage="0" bottom="0" percent="0" rank="0" text="" dxfId="0">
      <formula>0</formula>
    </cfRule>
    <cfRule type="cellIs" priority="5" operator="greaterThanOrEqual" aboveAverage="0" equalAverage="0" bottom="0" percent="0" rank="0" text="" dxfId="1">
      <formula>0</formula>
    </cfRule>
  </conditionalFormatting>
  <conditionalFormatting sqref="G5:G16">
    <cfRule type="cellIs" priority="6" operator="lessThan" aboveAverage="0" equalAverage="0" bottom="0" percent="0" rank="0" text="" dxfId="0">
      <formula>0</formula>
    </cfRule>
    <cfRule type="cellIs" priority="7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40"/>
  </cols>
  <sheetData>
    <row r="1" customFormat="false" ht="25.5" hidden="false" customHeight="true" outlineLevel="0" collapsed="false">
      <c r="A1" s="15" t="s">
        <v>285</v>
      </c>
      <c r="B1" s="15"/>
      <c r="C1" s="15"/>
      <c r="D1" s="15"/>
    </row>
    <row r="3" customFormat="false" ht="15" hidden="false" customHeight="false" outlineLevel="0" collapsed="false">
      <c r="A3" s="14" t="s">
        <v>286</v>
      </c>
    </row>
    <row r="5" customFormat="false" ht="15" hidden="false" customHeight="false" outlineLevel="0" collapsed="false">
      <c r="A5" s="6" t="s">
        <v>56</v>
      </c>
      <c r="B5" s="6" t="s">
        <v>287</v>
      </c>
      <c r="C5" s="6" t="s">
        <v>288</v>
      </c>
      <c r="D5" s="6"/>
    </row>
    <row r="6" customFormat="false" ht="15" hidden="false" customHeight="false" outlineLevel="0" collapsed="false">
      <c r="A6" s="0" t="s">
        <v>289</v>
      </c>
      <c r="B6" s="0" t="n">
        <f aca="false">'01_Inputs'!C4*1.2</f>
        <v>0.9</v>
      </c>
      <c r="C6" s="0" t="s">
        <v>290</v>
      </c>
    </row>
    <row r="7" customFormat="false" ht="15" hidden="false" customHeight="false" outlineLevel="0" collapsed="false">
      <c r="A7" s="7" t="s">
        <v>291</v>
      </c>
      <c r="B7" s="10" t="n">
        <f aca="false">'01_Inputs'!C4*0.9</f>
        <v>0.675</v>
      </c>
      <c r="C7" s="9" t="s">
        <v>292</v>
      </c>
      <c r="D7" s="9"/>
    </row>
    <row r="8" customFormat="false" ht="15" hidden="false" customHeight="false" outlineLevel="0" collapsed="false">
      <c r="A8" s="7" t="s">
        <v>293</v>
      </c>
      <c r="B8" s="10" t="e">
        <f aca="false">' 02_unit economics'!b16*1.05</f>
        <v>#NAME?</v>
      </c>
      <c r="C8" s="9" t="s">
        <v>294</v>
      </c>
      <c r="D8" s="9"/>
    </row>
    <row r="9" customFormat="false" ht="15" hidden="false" customHeight="false" outlineLevel="0" collapsed="false">
      <c r="A9" s="7" t="s">
        <v>295</v>
      </c>
      <c r="B9" s="10" t="n">
        <f aca="false">'04_Production Ramp'!C17*0.8</f>
        <v>18840</v>
      </c>
      <c r="C9" s="9" t="s">
        <v>296</v>
      </c>
      <c r="D9" s="9"/>
    </row>
    <row r="10" customFormat="false" ht="15" hidden="false" customHeight="false" outlineLevel="0" collapsed="false">
      <c r="A10" s="7" t="s">
        <v>297</v>
      </c>
      <c r="B10" s="10" t="n">
        <f aca="false">'04_Production Ramp'!C17*1.2</f>
        <v>28260</v>
      </c>
      <c r="C10" s="9" t="s">
        <v>298</v>
      </c>
      <c r="D10" s="9"/>
    </row>
    <row r="11" customFormat="false" ht="15" hidden="false" customHeight="false" outlineLevel="0" collapsed="false">
      <c r="A11" s="7" t="s">
        <v>299</v>
      </c>
      <c r="B11" s="10" t="n">
        <f aca="false">'01_Inputs'!C13*1.3215</f>
        <v>1613.5515</v>
      </c>
      <c r="C11" s="9" t="s">
        <v>300</v>
      </c>
      <c r="D11" s="9"/>
    </row>
    <row r="12" customFormat="false" ht="15" hidden="false" customHeight="false" outlineLevel="0" collapsed="false">
      <c r="A12" s="7" t="s">
        <v>301</v>
      </c>
      <c r="B12" s="10" t="n">
        <f aca="false">'01_Inputs'!C8*1.5</f>
        <v>0.18</v>
      </c>
      <c r="C12" s="9" t="s">
        <v>302</v>
      </c>
      <c r="D12" s="9"/>
    </row>
    <row r="13" customFormat="false" ht="15" hidden="false" customHeight="false" outlineLevel="0" collapsed="false">
      <c r="A13" s="7" t="s">
        <v>303</v>
      </c>
      <c r="B13" s="10" t="s">
        <v>304</v>
      </c>
      <c r="C13" s="9" t="s">
        <v>305</v>
      </c>
      <c r="D13" s="9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60"/>
  </cols>
  <sheetData>
    <row r="1" customFormat="false" ht="25.5" hidden="false" customHeight="true" outlineLevel="0" collapsed="false">
      <c r="A1" s="15" t="s">
        <v>306</v>
      </c>
      <c r="B1" s="15"/>
      <c r="C1" s="15"/>
    </row>
    <row r="3" customFormat="false" ht="15" hidden="false" customHeight="false" outlineLevel="0" collapsed="false">
      <c r="A3" s="6" t="s">
        <v>307</v>
      </c>
      <c r="B3" s="6" t="s">
        <v>26</v>
      </c>
      <c r="C3" s="6" t="s">
        <v>308</v>
      </c>
    </row>
    <row r="4" customFormat="false" ht="15" hidden="false" customHeight="false" outlineLevel="0" collapsed="false">
      <c r="A4" s="9" t="s">
        <v>309</v>
      </c>
      <c r="B4" s="9" t="s">
        <v>310</v>
      </c>
      <c r="C4" s="34" t="s">
        <v>311</v>
      </c>
    </row>
    <row r="5" customFormat="false" ht="15" hidden="false" customHeight="false" outlineLevel="0" collapsed="false">
      <c r="A5" s="9" t="s">
        <v>309</v>
      </c>
      <c r="B5" s="9" t="s">
        <v>312</v>
      </c>
      <c r="C5" s="34" t="s">
        <v>313</v>
      </c>
    </row>
    <row r="6" customFormat="false" ht="15" hidden="false" customHeight="false" outlineLevel="0" collapsed="false">
      <c r="A6" s="9" t="s">
        <v>309</v>
      </c>
      <c r="B6" s="9" t="s">
        <v>314</v>
      </c>
      <c r="C6" s="34" t="s">
        <v>313</v>
      </c>
    </row>
    <row r="7" customFormat="false" ht="15" hidden="false" customHeight="false" outlineLevel="0" collapsed="false">
      <c r="A7" s="9" t="s">
        <v>309</v>
      </c>
      <c r="B7" s="9" t="s">
        <v>315</v>
      </c>
      <c r="C7" s="34" t="s">
        <v>316</v>
      </c>
    </row>
    <row r="8" customFormat="false" ht="15" hidden="false" customHeight="false" outlineLevel="0" collapsed="false">
      <c r="A8" s="9" t="s">
        <v>309</v>
      </c>
      <c r="B8" s="9" t="s">
        <v>317</v>
      </c>
      <c r="C8" s="34" t="s">
        <v>318</v>
      </c>
    </row>
    <row r="9" customFormat="false" ht="15" hidden="false" customHeight="false" outlineLevel="0" collapsed="false">
      <c r="A9" s="9" t="s">
        <v>309</v>
      </c>
      <c r="B9" s="9" t="s">
        <v>319</v>
      </c>
      <c r="C9" s="34" t="s">
        <v>320</v>
      </c>
    </row>
    <row r="10" customFormat="false" ht="15" hidden="false" customHeight="false" outlineLevel="0" collapsed="false">
      <c r="A10" s="9" t="s">
        <v>321</v>
      </c>
      <c r="B10" s="9" t="s">
        <v>322</v>
      </c>
      <c r="C10" s="34" t="s">
        <v>323</v>
      </c>
    </row>
    <row r="11" customFormat="false" ht="15" hidden="false" customHeight="false" outlineLevel="0" collapsed="false">
      <c r="A11" s="9" t="s">
        <v>321</v>
      </c>
      <c r="B11" s="9" t="s">
        <v>324</v>
      </c>
      <c r="C11" s="34" t="s">
        <v>325</v>
      </c>
    </row>
    <row r="12" customFormat="false" ht="15" hidden="false" customHeight="false" outlineLevel="0" collapsed="false">
      <c r="A12" s="9" t="s">
        <v>321</v>
      </c>
      <c r="B12" s="9" t="s">
        <v>326</v>
      </c>
      <c r="C12" s="34" t="s">
        <v>327</v>
      </c>
    </row>
    <row r="13" customFormat="false" ht="15" hidden="false" customHeight="false" outlineLevel="0" collapsed="false">
      <c r="A13" s="9" t="s">
        <v>321</v>
      </c>
      <c r="B13" s="9" t="s">
        <v>77</v>
      </c>
      <c r="C13" s="34" t="s">
        <v>328</v>
      </c>
    </row>
    <row r="14" customFormat="false" ht="15" hidden="false" customHeight="false" outlineLevel="0" collapsed="false">
      <c r="A14" s="9" t="s">
        <v>329</v>
      </c>
      <c r="B14" s="9" t="s">
        <v>330</v>
      </c>
      <c r="C14" s="34" t="s">
        <v>331</v>
      </c>
    </row>
    <row r="15" customFormat="false" ht="15" hidden="false" customHeight="false" outlineLevel="0" collapsed="false">
      <c r="A15" s="9" t="s">
        <v>329</v>
      </c>
      <c r="B15" s="9" t="s">
        <v>332</v>
      </c>
      <c r="C15" s="34" t="s">
        <v>333</v>
      </c>
    </row>
    <row r="16" customFormat="false" ht="15" hidden="false" customHeight="false" outlineLevel="0" collapsed="false">
      <c r="A16" s="9" t="s">
        <v>329</v>
      </c>
      <c r="B16" s="9" t="s">
        <v>334</v>
      </c>
      <c r="C16" s="34" t="s">
        <v>335</v>
      </c>
    </row>
    <row r="17" customFormat="false" ht="15" hidden="false" customHeight="false" outlineLevel="0" collapsed="false">
      <c r="A17" s="9" t="s">
        <v>329</v>
      </c>
      <c r="B17" s="9" t="s">
        <v>336</v>
      </c>
      <c r="C17" s="34" t="s">
        <v>337</v>
      </c>
    </row>
    <row r="18" customFormat="false" ht="15" hidden="false" customHeight="false" outlineLevel="0" collapsed="false">
      <c r="A18" s="9" t="s">
        <v>338</v>
      </c>
      <c r="B18" s="9" t="s">
        <v>339</v>
      </c>
      <c r="C18" s="34" t="s">
        <v>340</v>
      </c>
    </row>
    <row r="19" customFormat="false" ht="15" hidden="false" customHeight="false" outlineLevel="0" collapsed="false">
      <c r="A19" s="9" t="s">
        <v>338</v>
      </c>
      <c r="B19" s="9" t="s">
        <v>249</v>
      </c>
      <c r="C19" s="34" t="s">
        <v>341</v>
      </c>
    </row>
    <row r="20" customFormat="false" ht="15" hidden="false" customHeight="false" outlineLevel="0" collapsed="false">
      <c r="A20" s="9" t="s">
        <v>338</v>
      </c>
      <c r="B20" s="9" t="s">
        <v>342</v>
      </c>
      <c r="C20" s="34" t="s">
        <v>343</v>
      </c>
    </row>
    <row r="21" customFormat="false" ht="15" hidden="false" customHeight="false" outlineLevel="0" collapsed="false">
      <c r="A21" s="9" t="s">
        <v>344</v>
      </c>
      <c r="B21" s="9" t="s">
        <v>345</v>
      </c>
      <c r="C21" s="34" t="s">
        <v>346</v>
      </c>
    </row>
    <row r="22" customFormat="false" ht="15" hidden="false" customHeight="false" outlineLevel="0" collapsed="false">
      <c r="A22" s="9" t="s">
        <v>347</v>
      </c>
      <c r="B22" s="9" t="s">
        <v>348</v>
      </c>
      <c r="C22" s="34" t="s">
        <v>349</v>
      </c>
    </row>
    <row r="23" customFormat="false" ht="15" hidden="false" customHeight="false" outlineLevel="0" collapsed="false">
      <c r="A23" s="9" t="s">
        <v>347</v>
      </c>
      <c r="B23" s="9" t="s">
        <v>350</v>
      </c>
      <c r="C23" s="34" t="s">
        <v>351</v>
      </c>
    </row>
    <row r="24" customFormat="false" ht="15" hidden="false" customHeight="false" outlineLevel="0" collapsed="false">
      <c r="A24" s="9" t="s">
        <v>352</v>
      </c>
      <c r="B24" s="9" t="s">
        <v>353</v>
      </c>
      <c r="C24" s="34" t="s">
        <v>354</v>
      </c>
    </row>
    <row r="25" customFormat="false" ht="15" hidden="false" customHeight="false" outlineLevel="0" collapsed="false">
      <c r="A25" s="9" t="s">
        <v>352</v>
      </c>
      <c r="B25" s="9" t="s">
        <v>355</v>
      </c>
      <c r="C25" s="34" t="s">
        <v>356</v>
      </c>
    </row>
    <row r="26" customFormat="false" ht="15" hidden="false" customHeight="false" outlineLevel="0" collapsed="false">
      <c r="A26" s="9" t="s">
        <v>352</v>
      </c>
      <c r="B26" s="9" t="s">
        <v>357</v>
      </c>
      <c r="C26" s="34" t="s">
        <v>358</v>
      </c>
    </row>
    <row r="27" customFormat="false" ht="15" hidden="false" customHeight="false" outlineLevel="0" collapsed="false">
      <c r="A27" s="9" t="s">
        <v>359</v>
      </c>
      <c r="B27" s="9" t="s">
        <v>360</v>
      </c>
      <c r="C27" s="34" t="s">
        <v>361</v>
      </c>
    </row>
    <row r="28" customFormat="false" ht="15" hidden="false" customHeight="false" outlineLevel="0" collapsed="false">
      <c r="A28" s="9" t="s">
        <v>359</v>
      </c>
      <c r="B28" s="9" t="s">
        <v>362</v>
      </c>
      <c r="C28" s="34" t="s">
        <v>363</v>
      </c>
    </row>
    <row r="29" customFormat="false" ht="15" hidden="false" customHeight="false" outlineLevel="0" collapsed="false">
      <c r="A29" s="9" t="s">
        <v>359</v>
      </c>
      <c r="B29" s="9" t="s">
        <v>364</v>
      </c>
      <c r="C29" s="34" t="s">
        <v>365</v>
      </c>
    </row>
    <row r="30" customFormat="false" ht="15" hidden="false" customHeight="false" outlineLevel="0" collapsed="false">
      <c r="A30" s="9" t="s">
        <v>366</v>
      </c>
      <c r="B30" s="9" t="s">
        <v>367</v>
      </c>
      <c r="C30" s="34" t="s">
        <v>368</v>
      </c>
    </row>
    <row r="31" customFormat="false" ht="15" hidden="false" customHeight="false" outlineLevel="0" collapsed="false">
      <c r="A31" s="9" t="s">
        <v>366</v>
      </c>
      <c r="B31" s="9" t="s">
        <v>369</v>
      </c>
      <c r="C31" s="34" t="s">
        <v>370</v>
      </c>
    </row>
    <row r="32" customFormat="false" ht="15" hidden="false" customHeight="false" outlineLevel="0" collapsed="false">
      <c r="A32" s="9" t="s">
        <v>366</v>
      </c>
      <c r="B32" s="9" t="s">
        <v>371</v>
      </c>
      <c r="C32" s="34" t="s">
        <v>372</v>
      </c>
    </row>
    <row r="33" customFormat="false" ht="15" hidden="false" customHeight="false" outlineLevel="0" collapsed="false">
      <c r="A33" s="9" t="s">
        <v>366</v>
      </c>
      <c r="B33" s="9" t="s">
        <v>373</v>
      </c>
      <c r="C33" s="34" t="s">
        <v>374</v>
      </c>
    </row>
    <row r="34" customFormat="false" ht="15" hidden="false" customHeight="false" outlineLevel="0" collapsed="false">
      <c r="A34" s="9" t="s">
        <v>366</v>
      </c>
      <c r="B34" s="9" t="s">
        <v>375</v>
      </c>
      <c r="C34" s="34" t="s">
        <v>376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2026-05-29T08:11:10Z</dcterms:created>
  <dc:creator>openpyxl</dc:creator>
  <dc:description/>
  <dc:language>en-US</dc:language>
  <cp:lastModifiedBy/>
  <dcterms:modified xsi:type="dcterms:W3CDTF">2026-05-30T22:23:18Z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