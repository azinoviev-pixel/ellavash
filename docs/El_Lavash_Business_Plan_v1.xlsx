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_Dashboard" sheetId="1" state="visible" r:id="rId1"/>
    <sheet xmlns:r="http://schemas.openxmlformats.org/officeDocument/2006/relationships" name="01_Inputs" sheetId="2" state="visible" r:id="rId2"/>
    <sheet xmlns:r="http://schemas.openxmlformats.org/officeDocument/2006/relationships" name="02_Unit Economics" sheetId="3" state="visible" r:id="rId3"/>
    <sheet xmlns:r="http://schemas.openxmlformats.org/officeDocument/2006/relationships" name="03_Sales Mix" sheetId="4" state="visible" r:id="rId4"/>
    <sheet xmlns:r="http://schemas.openxmlformats.org/officeDocument/2006/relationships" name="04_Production Ramp" sheetId="5" state="visible" r:id="rId5"/>
    <sheet xmlns:r="http://schemas.openxmlformats.org/officeDocument/2006/relationships" name="05_OPEX Monthly" sheetId="6" state="visible" r:id="rId6"/>
    <sheet xmlns:r="http://schemas.openxmlformats.org/officeDocument/2006/relationships" name="06_CAPEX" sheetId="7" state="visible" r:id="rId7"/>
    <sheet xmlns:r="http://schemas.openxmlformats.org/officeDocument/2006/relationships" name="07_PL Пессимизм" sheetId="8" state="visible" r:id="rId8"/>
    <sheet xmlns:r="http://schemas.openxmlformats.org/officeDocument/2006/relationships" name="08_PL Реализм" sheetId="9" state="visible" r:id="rId9"/>
    <sheet xmlns:r="http://schemas.openxmlformats.org/officeDocument/2006/relationships" name="09_PL Суперопт" sheetId="10" state="visible" r:id="rId10"/>
    <sheet xmlns:r="http://schemas.openxmlformats.org/officeDocument/2006/relationships" name="10_Break-even" sheetId="11" state="visible" r:id="rId11"/>
    <sheet xmlns:r="http://schemas.openxmlformats.org/officeDocument/2006/relationships" name="11_Cash Flow" sheetId="12" state="visible" r:id="rId12"/>
    <sheet xmlns:r="http://schemas.openxmlformats.org/officeDocument/2006/relationships" name="12_Sensitivity" sheetId="13" state="visible" r:id="rId13"/>
    <sheet xmlns:r="http://schemas.openxmlformats.org/officeDocument/2006/relationships" name="14_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 &quot;€&quot;"/>
    <numFmt numFmtId="165" formatCode="0.00 &quot;€&quot;"/>
    <numFmt numFmtId="166" formatCode="0.0%"/>
    <numFmt numFmtId="167" formatCode="0.0"/>
    <numFmt numFmtId="168" formatCode="#,##0 &quot;€&quot;"/>
    <numFmt numFmtId="169" formatCode="#,##0 &quot;кг&quot;"/>
  </numFmts>
  <fonts count="7">
    <font>
      <name val="Calibri"/>
      <family val="2"/>
      <color theme="1"/>
      <sz val="11"/>
      <scheme val="minor"/>
    </font>
    <font>
      <name val="Calibri"/>
      <b val="1"/>
      <color rgb="002A1810"/>
      <sz val="12"/>
    </font>
    <font>
      <name val="Calibri"/>
      <b val="1"/>
      <color rgb="00FFF3D9"/>
      <sz val="11"/>
    </font>
    <font>
      <name val="Calibri"/>
      <sz val="10"/>
    </font>
    <font>
      <name val="Calibri"/>
      <b val="1"/>
      <sz val="10"/>
    </font>
    <font>
      <name val="Calibri"/>
      <b val="1"/>
      <color rgb="002A1810"/>
      <sz val="16"/>
    </font>
    <font>
      <name val="Calibri"/>
      <color rgb="000066CC"/>
      <sz val="10"/>
      <u val="single"/>
    </font>
  </fonts>
  <fills count="9">
    <fill>
      <patternFill/>
    </fill>
    <fill>
      <patternFill patternType="gray125"/>
    </fill>
    <fill>
      <patternFill patternType="solid">
        <fgColor rgb="00F8D202"/>
      </patternFill>
    </fill>
    <fill>
      <patternFill patternType="solid">
        <fgColor rgb="006F3E22"/>
      </patternFill>
    </fill>
    <fill>
      <patternFill patternType="solid">
        <fgColor rgb="00FFFCE0"/>
      </patternFill>
    </fill>
    <fill>
      <patternFill patternType="solid">
        <fgColor rgb="00FFF3D9"/>
      </patternFill>
    </fill>
    <fill>
      <patternFill patternType="solid">
        <fgColor rgb="00C8E6A0"/>
      </patternFill>
    </fill>
    <fill>
      <patternFill patternType="solid">
        <fgColor rgb="00F4C430"/>
      </patternFill>
    </fill>
    <fill>
      <patternFill patternType="solid">
        <fgColor rgb="00E0D0C0"/>
      </patternFill>
    </fill>
  </fills>
  <borders count="2">
    <border>
      <left/>
      <right/>
      <top/>
      <bottom/>
      <diagonal/>
    </border>
    <border>
      <left style="thin">
        <color rgb="00D9C8A6"/>
      </left>
      <right style="thin">
        <color rgb="00D9C8A6"/>
      </right>
      <top style="thin">
        <color rgb="00D9C8A6"/>
      </top>
      <bottom style="thin">
        <color rgb="00D9C8A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2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4" fillId="0" borderId="1" pivotButton="0" quotePrefix="0" xfId="0"/>
    <xf numFmtId="169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8" fontId="3" fillId="0" borderId="1" pivotButton="0" quotePrefix="0" xfId="0"/>
    <xf numFmtId="168" fontId="4" fillId="7" borderId="1" pivotButton="0" quotePrefix="0" xfId="0"/>
    <xf numFmtId="166" fontId="3" fillId="0" borderId="1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164" fontId="4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65" fontId="4" fillId="0" borderId="1" pivotButton="0" quotePrefix="0" xfId="0"/>
    <xf numFmtId="166" fontId="4" fillId="7" borderId="1" pivotButton="0" quotePrefix="0" xfId="0"/>
    <xf numFmtId="165" fontId="4" fillId="6" borderId="1" pivotButton="0" quotePrefix="0" xfId="0"/>
    <xf numFmtId="3" fontId="4" fillId="0" borderId="1" pivotButton="0" quotePrefix="0" xfId="0"/>
    <xf numFmtId="3" fontId="4" fillId="7" borderId="1" pivotButton="0" quotePrefix="0" xfId="0"/>
    <xf numFmtId="167" fontId="4" fillId="0" borderId="1" pivotButton="0" quotePrefix="0" xfId="0"/>
    <xf numFmtId="168" fontId="4" fillId="0" borderId="1" pivotButton="0" quotePrefix="0" xfId="0"/>
    <xf numFmtId="3" fontId="3" fillId="0" borderId="1" pivotButton="0" quotePrefix="0" xfId="0"/>
    <xf numFmtId="167" fontId="4" fillId="6" borderId="1" pivotButton="0" quotePrefix="0" xfId="0"/>
    <xf numFmtId="0" fontId="4" fillId="8" borderId="1" pivotButton="0" quotePrefix="0" xfId="0"/>
    <xf numFmtId="168" fontId="4" fillId="8" borderId="1" pivotButton="0" quotePrefix="0" xfId="0"/>
    <xf numFmtId="0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BD7D6"/>
        </patternFill>
      </fill>
    </dxf>
    <dxf>
      <fill>
        <patternFill patternType="solid">
          <fgColor rgb="00C8E6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2" customWidth="1" min="5" max="5"/>
    <col width="38" customWidth="1" min="6" max="6"/>
  </cols>
  <sheetData>
    <row r="1" ht="30" customHeight="1">
      <c r="A1" s="1" t="inlineStr">
        <is>
          <t>DASHBOARD — El Lavash Business Plan</t>
        </is>
      </c>
    </row>
    <row r="3">
      <c r="A3" s="2" t="inlineStr">
        <is>
          <t>Метрика</t>
        </is>
      </c>
      <c r="B3" s="2" t="inlineStr">
        <is>
          <t>Пессимизм</t>
        </is>
      </c>
      <c r="C3" s="2" t="inlineStr">
        <is>
          <t>Реализм</t>
        </is>
      </c>
      <c r="D3" s="2" t="inlineStr">
        <is>
          <t>Супер-опт</t>
        </is>
      </c>
      <c r="E3" s="2" t="inlineStr">
        <is>
          <t>Источник</t>
        </is>
      </c>
      <c r="F3" s="2" t="inlineStr">
        <is>
          <t>Комментарий</t>
        </is>
      </c>
    </row>
    <row r="4">
      <c r="A4" s="3" t="inlineStr">
        <is>
          <t>Объём год 1 (кг)</t>
        </is>
      </c>
      <c r="B4" s="4">
        <f>'04_Production Ramp'!B17</f>
        <v/>
      </c>
      <c r="C4" s="4">
        <f>'04_Production Ramp'!C17</f>
        <v/>
      </c>
      <c r="D4" s="4">
        <f>'04_Production Ramp'!D17</f>
        <v/>
      </c>
      <c r="E4" s="5" t="inlineStr">
        <is>
          <t>Production Ramp</t>
        </is>
      </c>
      <c r="F4" s="5" t="inlineStr">
        <is>
          <t>Сумма помесячных объёмов</t>
        </is>
      </c>
    </row>
    <row r="5">
      <c r="A5" s="3" t="inlineStr">
        <is>
          <t>Ср.цена €/кг</t>
        </is>
      </c>
      <c r="B5" s="6">
        <f>'03_Sales Mix'!C12</f>
        <v/>
      </c>
      <c r="C5" s="6">
        <f>'03_Sales Mix'!D12</f>
        <v/>
      </c>
      <c r="D5" s="6">
        <f>'03_Sales Mix'!E12</f>
        <v/>
      </c>
      <c r="E5" s="5" t="inlineStr">
        <is>
          <t>Sales Mix</t>
        </is>
      </c>
      <c r="F5" s="5" t="inlineStr">
        <is>
          <t>Взвешенная по каналам</t>
        </is>
      </c>
    </row>
    <row r="6">
      <c r="A6" s="3" t="inlineStr">
        <is>
          <t>Выручка год 1 (€)</t>
        </is>
      </c>
      <c r="B6" s="7">
        <f>'07_PL Пессимизм'!D16</f>
        <v/>
      </c>
      <c r="C6" s="7">
        <f>'08_PL Реализм'!D16</f>
        <v/>
      </c>
      <c r="D6" s="7">
        <f>'09_PL Суперопт'!D16</f>
        <v/>
      </c>
      <c r="E6" s="5" t="inlineStr">
        <is>
          <t>P&amp;L</t>
        </is>
      </c>
      <c r="F6" s="5" t="inlineStr">
        <is>
          <t>Сумма помесячная</t>
        </is>
      </c>
    </row>
    <row r="7">
      <c r="A7" s="3" t="inlineStr">
        <is>
          <t>EBITDA год 1 (€)</t>
        </is>
      </c>
      <c r="B7" s="8">
        <f>'07_PL Пессимизм'!G16</f>
        <v/>
      </c>
      <c r="C7" s="8">
        <f>'08_PL Реализм'!G16</f>
        <v/>
      </c>
      <c r="D7" s="8">
        <f>'09_PL Суперопт'!G16</f>
        <v/>
      </c>
      <c r="E7" s="5" t="inlineStr">
        <is>
          <t>P&amp;L</t>
        </is>
      </c>
      <c r="F7" s="5" t="inlineStr">
        <is>
          <t>Прибыль до амортизации</t>
        </is>
      </c>
    </row>
    <row r="8">
      <c r="A8" s="3" t="inlineStr">
        <is>
          <t>EBITDA margin %</t>
        </is>
      </c>
      <c r="B8" s="9">
        <f>B7/B6</f>
        <v/>
      </c>
      <c r="C8" s="9">
        <f>C7/C6</f>
        <v/>
      </c>
      <c r="D8" s="9">
        <f>D7/D6</f>
        <v/>
      </c>
      <c r="E8" s="5" t="inlineStr">
        <is>
          <t>Calc</t>
        </is>
      </c>
      <c r="F8" s="5" t="inlineStr">
        <is>
          <t>EBITDA / Revenue</t>
        </is>
      </c>
    </row>
    <row r="9">
      <c r="A9" s="3" t="inlineStr">
        <is>
          <t>Break-even кг/день</t>
        </is>
      </c>
      <c r="B9" s="7">
        <f>'10_Break-even'!B9</f>
        <v/>
      </c>
      <c r="C9" s="7">
        <f>'10_Break-even'!C9</f>
        <v/>
      </c>
      <c r="D9" s="7">
        <f>'10_Break-even'!D9</f>
        <v/>
      </c>
      <c r="E9" s="5" t="inlineStr">
        <is>
          <t>Break-even</t>
        </is>
      </c>
      <c r="F9" s="5" t="inlineStr">
        <is>
          <t>OPEX / маржа / 26 дней</t>
        </is>
      </c>
    </row>
    <row r="10">
      <c r="A10" s="3" t="inlineStr">
        <is>
          <t>CAPEX (старт)</t>
        </is>
      </c>
      <c r="B10" s="5">
        <f>'06_CAPEX'!B15</f>
        <v/>
      </c>
      <c r="C10" s="5">
        <f>'06_CAPEX'!B15</f>
        <v/>
      </c>
      <c r="D10" s="5">
        <f>'06_CAPEX'!B15</f>
        <v/>
      </c>
      <c r="E10" s="5" t="inlineStr">
        <is>
          <t>CAPEX</t>
        </is>
      </c>
      <c r="F10" s="5" t="inlineStr">
        <is>
          <t>Все стартовые расходы</t>
        </is>
      </c>
    </row>
    <row r="12">
      <c r="A12" s="10" t="inlineStr">
        <is>
          <t>ВАЖНО:</t>
        </is>
      </c>
    </row>
    <row r="13">
      <c r="A13" t="inlineStr">
        <is>
          <t>1. Все цифры рассчитаны формулами — меняй Inputs или Production Ramp, всё пересчитается.</t>
        </is>
      </c>
    </row>
    <row r="14">
      <c r="A14" t="inlineStr">
        <is>
          <t>2. Объёмы 4 400+ кг/мес в Реализме могут быть оптимистичными для 1 спирального тестомеса + 2 работника.</t>
        </is>
      </c>
    </row>
    <row r="15">
      <c r="A15" t="inlineStr">
        <is>
          <t>3. Без подтверждения мощности печи Helen — это математическая модель, не операционный план.</t>
        </is>
      </c>
    </row>
    <row r="16">
      <c r="A16" t="inlineStr">
        <is>
          <t>4. Halal-сертификат добавит +30% объёма (марокканский канал) — отражено в Супер-опт.</t>
        </is>
      </c>
    </row>
    <row r="17">
      <c r="A17" t="inlineStr">
        <is>
          <t>5. Каждая цифра в Inputs имеет источник в колонке E. Проверяй там.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38" customWidth="1" min="5" max="5"/>
    <col width="14" customWidth="1" min="6" max="6"/>
  </cols>
  <sheetData>
    <row r="1" ht="26" customHeight="1">
      <c r="A1" s="11" t="inlineStr">
        <is>
          <t>ВХОДНЫЕ ПАРАМЕТРЫ — ИСТОЧНИКИ И ЦЕНЫ</t>
        </is>
      </c>
    </row>
    <row r="3">
      <c r="A3" s="2" t="inlineStr">
        <is>
          <t>#</t>
        </is>
      </c>
      <c r="B3" s="2" t="inlineStr">
        <is>
          <t>Параметр</t>
        </is>
      </c>
      <c r="C3" s="2" t="inlineStr">
        <is>
          <t>Значение</t>
        </is>
      </c>
      <c r="D3" s="2" t="inlineStr">
        <is>
          <t>Ед.</t>
        </is>
      </c>
      <c r="E3" s="2" t="inlineStr">
        <is>
          <t>Источник</t>
        </is>
      </c>
      <c r="F3" s="2" t="inlineStr">
        <is>
          <t>Статус</t>
        </is>
      </c>
    </row>
    <row r="4">
      <c r="A4" s="12" t="n">
        <v>1</v>
      </c>
      <c r="B4" s="12" t="inlineStr">
        <is>
          <t>Мука W-260 опт</t>
        </is>
      </c>
      <c r="C4" s="13" t="n">
        <v>0.75</v>
      </c>
      <c r="D4" s="12" t="inlineStr">
        <is>
          <t>€/кг</t>
        </is>
      </c>
      <c r="E4" s="12" t="inlineStr">
        <is>
          <t>B-Grup / Selina Wamucii</t>
        </is>
      </c>
      <c r="F4" s="14" t="inlineStr">
        <is>
          <t>estimate</t>
        </is>
      </c>
    </row>
    <row r="5">
      <c r="A5" s="12" t="n">
        <v>2</v>
      </c>
      <c r="B5" s="12" t="inlineStr">
        <is>
          <t>Дрожжи свежие опт</t>
        </is>
      </c>
      <c r="C5" s="13" t="n">
        <v>2.5</v>
      </c>
      <c r="D5" s="12" t="inlineStr">
        <is>
          <t>€/кг</t>
        </is>
      </c>
      <c r="E5" s="12" t="inlineStr">
        <is>
          <t>Codipán / AB Mauri</t>
        </is>
      </c>
      <c r="F5" s="14" t="inlineStr">
        <is>
          <t>estimate</t>
        </is>
      </c>
    </row>
    <row r="6">
      <c r="A6" s="12" t="n">
        <v>3</v>
      </c>
      <c r="B6" s="12" t="inlineStr">
        <is>
          <t>Соль промышленная</t>
        </is>
      </c>
      <c r="C6" s="13" t="n">
        <v>0.4</v>
      </c>
      <c r="D6" s="12" t="inlineStr">
        <is>
          <t>€/кг</t>
        </is>
      </c>
      <c r="E6" s="12" t="inlineStr">
        <is>
          <t>Sal Costa B2B</t>
        </is>
      </c>
      <c r="F6" s="14" t="inlineStr">
        <is>
          <t>estimate</t>
        </is>
      </c>
    </row>
    <row r="7">
      <c r="A7" s="12" t="n">
        <v>4</v>
      </c>
      <c r="B7" s="12" t="inlineStr">
        <is>
          <t>Вода питьевая</t>
        </is>
      </c>
      <c r="C7" s="13" t="n">
        <v>0.003</v>
      </c>
      <c r="D7" s="12" t="inlineStr">
        <is>
          <t>€/л</t>
        </is>
      </c>
      <c r="E7" s="12" t="inlineStr">
        <is>
          <t>Aqualia Льорет</t>
        </is>
      </c>
      <c r="F7" s="14" t="inlineStr">
        <is>
          <t>estimate</t>
        </is>
      </c>
    </row>
    <row r="8">
      <c r="A8" s="12" t="n">
        <v>5</v>
      </c>
      <c r="B8" s="12" t="inlineStr">
        <is>
          <t>Электричество PYME</t>
        </is>
      </c>
      <c r="C8" s="13" t="n">
        <v>0.12</v>
      </c>
      <c r="D8" s="12" t="inlineStr">
        <is>
          <t>€/кВт·ч</t>
        </is>
      </c>
      <c r="E8" s="12" t="inlineStr">
        <is>
          <t>Roams / Octopus 2026</t>
        </is>
      </c>
      <c r="F8" s="15" t="inlineStr">
        <is>
          <t>verified</t>
        </is>
      </c>
    </row>
    <row r="9">
      <c r="A9" s="12" t="n">
        <v>6</v>
      </c>
      <c r="B9" s="12" t="inlineStr">
        <is>
          <t>Электр. на 1 кг лаваша</t>
        </is>
      </c>
      <c r="C9" s="13" t="n">
        <v>0.8</v>
      </c>
      <c r="D9" s="12" t="inlineStr">
        <is>
          <t>кВт·ч/кг</t>
        </is>
      </c>
      <c r="E9" s="12" t="inlineStr">
        <is>
          <t>Maeswell обrador baseline</t>
        </is>
      </c>
      <c r="F9" s="14" t="inlineStr">
        <is>
          <t>estimate</t>
        </is>
      </c>
    </row>
    <row r="10">
      <c r="A10" s="12" t="n">
        <v>7</v>
      </c>
      <c r="B10" s="12" t="inlineStr">
        <is>
          <t>Газ природный PYME</t>
        </is>
      </c>
      <c r="C10" s="13" t="n">
        <v>0.0382</v>
      </c>
      <c r="D10" s="12" t="inlineStr">
        <is>
          <t>€/кВт·ч</t>
        </is>
      </c>
      <c r="E10" s="12" t="inlineStr">
        <is>
          <t>TodoLuzYGas май 2026</t>
        </is>
      </c>
      <c r="F10" s="15" t="inlineStr">
        <is>
          <t>verified</t>
        </is>
      </c>
    </row>
    <row r="11">
      <c r="A11" s="12" t="n">
        <v>8</v>
      </c>
      <c r="B11" s="12" t="inlineStr">
        <is>
          <t>Пакет OPP 400 г</t>
        </is>
      </c>
      <c r="C11" s="13" t="n">
        <v>0.03</v>
      </c>
      <c r="D11" s="12" t="inlineStr">
        <is>
          <t>€/шт</t>
        </is>
      </c>
      <c r="E11" s="12" t="inlineStr">
        <is>
          <t>B2B типография Каталония</t>
        </is>
      </c>
      <c r="F11" s="14" t="inlineStr">
        <is>
          <t>estimate</t>
        </is>
      </c>
    </row>
    <row r="12">
      <c r="A12" s="12" t="n">
        <v>9</v>
      </c>
      <c r="B12" s="12" t="inlineStr">
        <is>
          <t>Этикетка с EAN/печатью</t>
        </is>
      </c>
      <c r="C12" s="13" t="n">
        <v>0.05</v>
      </c>
      <c r="D12" s="12" t="inlineStr">
        <is>
          <t>€/шт</t>
        </is>
      </c>
      <c r="E12" s="12" t="inlineStr">
        <is>
          <t>B2B Каталония</t>
        </is>
      </c>
      <c r="F12" s="14" t="inlineStr">
        <is>
          <t>estimate</t>
        </is>
      </c>
    </row>
    <row r="13">
      <c r="A13" s="12" t="n">
        <v>10</v>
      </c>
      <c r="B13" s="12" t="inlineStr">
        <is>
          <t>SMI 2026 brutto/мес</t>
        </is>
      </c>
      <c r="C13" s="13" t="n">
        <v>1221</v>
      </c>
      <c r="D13" s="12" t="inlineStr">
        <is>
          <t>€</t>
        </is>
      </c>
      <c r="E13" s="12" t="inlineStr">
        <is>
          <t>BOE-A-2026-3815 / La Moncloa</t>
        </is>
      </c>
      <c r="F13" s="15" t="inlineStr">
        <is>
          <t>verified</t>
        </is>
      </c>
    </row>
    <row r="14">
      <c r="A14" s="12" t="n">
        <v>11</v>
      </c>
      <c r="B14" s="12" t="inlineStr">
        <is>
          <t>Соц.отчисления работодателя</t>
        </is>
      </c>
      <c r="C14" s="13" t="n">
        <v>0.3215</v>
      </c>
      <c r="D14" s="12" t="inlineStr">
        <is>
          <t>доля от gross</t>
        </is>
      </c>
      <c r="E14" s="12" t="inlineStr">
        <is>
          <t>Seg.Social 2026</t>
        </is>
      </c>
      <c r="F14" s="15" t="inlineStr">
        <is>
          <t>verified</t>
        </is>
      </c>
    </row>
    <row r="15">
      <c r="A15" s="12" t="n">
        <v>12</v>
      </c>
      <c r="B15" s="12" t="inlineStr">
        <is>
          <t>ЗП пекаря gross/мес</t>
        </is>
      </c>
      <c r="C15" s="13" t="n">
        <v>1500</v>
      </c>
      <c r="D15" s="12" t="inlineStr">
        <is>
          <t>€</t>
        </is>
      </c>
      <c r="E15" s="12" t="inlineStr">
        <is>
          <t>Convenio + market</t>
        </is>
      </c>
      <c r="F15" s="14" t="inlineStr">
        <is>
          <t>estimate</t>
        </is>
      </c>
    </row>
    <row r="16">
      <c r="A16" s="12" t="n">
        <v>13</v>
      </c>
      <c r="B16" s="12" t="inlineStr">
        <is>
          <t>ЗП помощника gross/мес</t>
        </is>
      </c>
      <c r="C16" s="13" t="n">
        <v>1221</v>
      </c>
      <c r="D16" s="12" t="inlineStr">
        <is>
          <t>€</t>
        </is>
      </c>
      <c r="E16" s="12" t="inlineStr">
        <is>
          <t>SMI базовый</t>
        </is>
      </c>
      <c r="F16" s="15" t="inlineStr">
        <is>
          <t>verified</t>
        </is>
      </c>
    </row>
    <row r="17">
      <c r="A17" s="12" t="n">
        <v>14</v>
      </c>
      <c r="B17" s="12" t="inlineStr">
        <is>
          <t>ЗП Элен (директор)/мес</t>
        </is>
      </c>
      <c r="C17" s="13" t="n">
        <v>1500</v>
      </c>
      <c r="D17" s="12" t="inlineStr">
        <is>
          <t>€</t>
        </is>
      </c>
      <c r="E17" s="12" t="inlineStr">
        <is>
          <t>Старт скромная</t>
        </is>
      </c>
      <c r="F17" s="14" t="inlineStr">
        <is>
          <t>estimate</t>
        </is>
      </c>
    </row>
    <row r="18">
      <c r="A18" s="12" t="n">
        <v>15</v>
      </c>
      <c r="B18" s="12" t="inlineStr">
        <is>
          <t>IVA на лаваш</t>
        </is>
      </c>
      <c r="C18" s="13" t="n">
        <v>0.04</v>
      </c>
      <c r="D18" s="12" t="inlineStr">
        <is>
          <t>доля</t>
        </is>
      </c>
      <c r="E18" s="12" t="inlineStr">
        <is>
          <t>BOE-A-2025-3950</t>
        </is>
      </c>
      <c r="F18" s="15" t="inlineStr">
        <is>
          <t>verified</t>
        </is>
      </c>
    </row>
    <row r="19">
      <c r="A19" s="12" t="n">
        <v>16</v>
      </c>
      <c r="B19" s="12" t="inlineStr">
        <is>
          <t>Cuota autónomo tarifa plana</t>
        </is>
      </c>
      <c r="C19" s="13" t="n">
        <v>80</v>
      </c>
      <c r="D19" s="12" t="inlineStr">
        <is>
          <t>€/мес год 1</t>
        </is>
      </c>
      <c r="E19" s="12" t="inlineStr">
        <is>
          <t>Seg.Social tarifa plana</t>
        </is>
      </c>
      <c r="F19" s="15" t="inlineStr">
        <is>
          <t>verified</t>
        </is>
      </c>
    </row>
    <row r="20">
      <c r="A20" s="12" t="n">
        <v>17</v>
      </c>
      <c r="B20" s="12" t="inlineStr">
        <is>
          <t>Asesoría fiscal</t>
        </is>
      </c>
      <c r="C20" s="13" t="n">
        <v>300</v>
      </c>
      <c r="D20" s="12" t="inlineStr">
        <is>
          <t>€/мес</t>
        </is>
      </c>
      <c r="E20" s="12" t="inlineStr">
        <is>
          <t>Стандарт SL Каталония</t>
        </is>
      </c>
      <c r="F20" s="15" t="inlineStr">
        <is>
          <t>verified</t>
        </is>
      </c>
    </row>
    <row r="21">
      <c r="A21" s="12" t="n">
        <v>18</v>
      </c>
      <c r="B21" s="12" t="inlineStr">
        <is>
          <t>Internet + телефон</t>
        </is>
      </c>
      <c r="C21" s="13" t="n">
        <v>70</v>
      </c>
      <c r="D21" s="12" t="inlineStr">
        <is>
          <t>€/мес</t>
        </is>
      </c>
      <c r="E21" s="12" t="inlineStr">
        <is>
          <t>Movistar PYME</t>
        </is>
      </c>
      <c r="F21" s="15" t="inlineStr">
        <is>
          <t>verified</t>
        </is>
      </c>
    </row>
    <row r="22">
      <c r="A22" s="12" t="n">
        <v>19</v>
      </c>
      <c r="B22" s="12" t="inlineStr">
        <is>
          <t>Страхование RC</t>
        </is>
      </c>
      <c r="C22" s="13" t="n">
        <v>100</v>
      </c>
      <c r="D22" s="12" t="inlineStr">
        <is>
          <t>€/мес</t>
        </is>
      </c>
      <c r="E22" s="12" t="inlineStr">
        <is>
          <t>Mapfre PYME</t>
        </is>
      </c>
      <c r="F22" s="14" t="inlineStr">
        <is>
          <t>estimate</t>
        </is>
      </c>
    </row>
    <row r="23">
      <c r="A23" s="12" t="n">
        <v>20</v>
      </c>
      <c r="B23" s="12" t="inlineStr">
        <is>
          <t>SMM-менеджер</t>
        </is>
      </c>
      <c r="C23" s="13" t="n">
        <v>350</v>
      </c>
      <c r="D23" s="12" t="inlineStr">
        <is>
          <t>€/мес</t>
        </is>
      </c>
      <c r="E23" s="12" t="inlineStr">
        <is>
          <t>Local Каталония</t>
        </is>
      </c>
      <c r="F23" s="15" t="inlineStr">
        <is>
          <t>verified</t>
        </is>
      </c>
    </row>
    <row r="24">
      <c r="A24" s="12" t="n">
        <v>21</v>
      </c>
      <c r="B24" s="12" t="inlineStr">
        <is>
          <t>Логистика (дизель+авто)</t>
        </is>
      </c>
      <c r="C24" s="13" t="n">
        <v>300</v>
      </c>
      <c r="D24" s="12" t="inlineStr">
        <is>
          <t>€/мес</t>
        </is>
      </c>
      <c r="E24" s="12" t="inlineStr">
        <is>
          <t>~50 км/день dispatch</t>
        </is>
      </c>
      <c r="F24" s="14" t="inlineStr">
        <is>
          <t>estimate</t>
        </is>
      </c>
    </row>
    <row r="25">
      <c r="A25" s="12" t="n">
        <v>22</v>
      </c>
      <c r="B25" s="12" t="inlineStr">
        <is>
          <t>Расходники hygiene</t>
        </is>
      </c>
      <c r="C25" s="13" t="n">
        <v>100</v>
      </c>
      <c r="D25" s="12" t="inlineStr">
        <is>
          <t>€/мес</t>
        </is>
      </c>
      <c r="E25" s="12" t="inlineStr">
        <is>
          <t>PYME стандарт</t>
        </is>
      </c>
      <c r="F25" s="14" t="inlineStr">
        <is>
          <t>estimate</t>
        </is>
      </c>
    </row>
    <row r="26">
      <c r="A26" s="12" t="n">
        <v>23</v>
      </c>
      <c r="B26" s="12" t="inlineStr">
        <is>
          <t>Амортизация помещения</t>
        </is>
      </c>
      <c r="C26" s="13" t="n">
        <v>100</v>
      </c>
      <c r="D26" s="12" t="inlineStr">
        <is>
          <t>€/мес</t>
        </is>
      </c>
      <c r="E26" s="12" t="inlineStr">
        <is>
          <t>Стандарт SL</t>
        </is>
      </c>
      <c r="F26" s="14" t="inlineStr">
        <is>
          <t>estimate</t>
        </is>
      </c>
    </row>
    <row r="27">
      <c r="A27" s="12" t="n">
        <v>24</v>
      </c>
      <c r="B27" s="12" t="inlineStr">
        <is>
          <t>Прочие (банк, услуги)</t>
        </is>
      </c>
      <c r="C27" s="13" t="n">
        <v>120</v>
      </c>
      <c r="D27" s="12" t="inlineStr">
        <is>
          <t>€/мес</t>
        </is>
      </c>
      <c r="E27" s="12" t="inlineStr">
        <is>
          <t>PYME резерв</t>
        </is>
      </c>
      <c r="F27" s="14" t="inlineStr">
        <is>
          <t>estimate</t>
        </is>
      </c>
    </row>
    <row r="28">
      <c r="A28" s="12" t="n">
        <v>25</v>
      </c>
      <c r="B28" s="12" t="inlineStr">
        <is>
          <t>Constitución SL</t>
        </is>
      </c>
      <c r="C28" s="13" t="n">
        <v>400</v>
      </c>
      <c r="D28" s="12" t="inlineStr">
        <is>
          <t>€</t>
        </is>
      </c>
      <c r="E28" s="12" t="inlineStr">
        <is>
          <t>Notario+Registro</t>
        </is>
      </c>
      <c r="F28" s="15" t="inlineStr">
        <is>
          <t>verified</t>
        </is>
      </c>
    </row>
    <row r="29">
      <c r="A29" s="12" t="n">
        <v>26</v>
      </c>
      <c r="B29" s="12" t="inlineStr">
        <is>
          <t>RSIPAC регистрация</t>
        </is>
      </c>
      <c r="C29" s="13" t="n">
        <v>64.25</v>
      </c>
      <c r="D29" s="12" t="inlineStr">
        <is>
          <t>€</t>
        </is>
      </c>
      <c r="E29" s="12" t="inlineStr">
        <is>
          <t>Gencat Salut Pública</t>
        </is>
      </c>
      <c r="F29" s="15" t="inlineStr">
        <is>
          <t>verified</t>
        </is>
      </c>
    </row>
    <row r="30">
      <c r="A30" s="12" t="n">
        <v>27</v>
      </c>
      <c r="B30" s="12" t="inlineStr">
        <is>
          <t>RGSEAA + Licencia Llloret</t>
        </is>
      </c>
      <c r="C30" s="13" t="n">
        <v>350</v>
      </c>
      <c r="D30" s="12" t="inlineStr">
        <is>
          <t>€</t>
        </is>
      </c>
      <c r="E30" s="12" t="inlineStr">
        <is>
          <t>AESAN + Ajunt.Lloret</t>
        </is>
      </c>
      <c r="F30" s="14" t="inlineStr">
        <is>
          <t>estimate</t>
        </is>
      </c>
    </row>
    <row r="31">
      <c r="A31" s="12" t="n">
        <v>28</v>
      </c>
      <c r="B31" s="12" t="inlineStr">
        <is>
          <t>HACCP консультант (старт)</t>
        </is>
      </c>
      <c r="C31" s="13" t="n">
        <v>500</v>
      </c>
      <c r="D31" s="12" t="inlineStr">
        <is>
          <t>€</t>
        </is>
      </c>
      <c r="E31" s="12" t="inlineStr">
        <is>
          <t>Ambialia от 290+</t>
        </is>
      </c>
      <c r="F31" s="15" t="inlineStr">
        <is>
          <t>verified</t>
        </is>
      </c>
    </row>
    <row r="32">
      <c r="A32" s="12" t="n">
        <v>29</v>
      </c>
      <c r="B32" s="12" t="inlineStr">
        <is>
          <t>EAN регистрация GS1</t>
        </is>
      </c>
      <c r="C32" s="13" t="n">
        <v>200</v>
      </c>
      <c r="D32" s="12" t="inlineStr">
        <is>
          <t>€</t>
        </is>
      </c>
      <c r="E32" s="12" t="inlineStr">
        <is>
          <t>GS1 Spain</t>
        </is>
      </c>
      <c r="F32" s="15" t="inlineStr">
        <is>
          <t>verified</t>
        </is>
      </c>
    </row>
    <row r="33">
      <c r="A33" s="12" t="n">
        <v>30</v>
      </c>
      <c r="B33" s="12" t="inlineStr">
        <is>
          <t>Halal-сертификат (если)</t>
        </is>
      </c>
      <c r="C33" s="13" t="n">
        <v>2500</v>
      </c>
      <c r="D33" s="12" t="inlineStr">
        <is>
          <t>€</t>
        </is>
      </c>
      <c r="E33" s="12" t="inlineStr">
        <is>
          <t>Instituto Halal presupuesto</t>
        </is>
      </c>
      <c r="F33" s="14" t="inlineStr">
        <is>
          <t>estimate</t>
        </is>
      </c>
    </row>
    <row r="34">
      <c r="A34" s="12" t="n">
        <v>31</v>
      </c>
      <c r="B34" s="12" t="inlineStr">
        <is>
          <t>Дизайн лого + упаковки</t>
        </is>
      </c>
      <c r="C34" s="13" t="n">
        <v>800</v>
      </c>
      <c r="D34" s="12" t="inlineStr">
        <is>
          <t>€</t>
        </is>
      </c>
      <c r="E34" s="12" t="inlineStr">
        <is>
          <t>Фрилансер Каталония</t>
        </is>
      </c>
      <c r="F34" s="15" t="inlineStr">
        <is>
          <t>verified</t>
        </is>
      </c>
    </row>
    <row r="35">
      <c r="A35" s="12" t="n">
        <v>32</v>
      </c>
      <c r="B35" s="12" t="inlineStr">
        <is>
          <t>Печать упаковки старт партия</t>
        </is>
      </c>
      <c r="C35" s="13" t="n">
        <v>1000</v>
      </c>
      <c r="D35" s="12" t="inlineStr">
        <is>
          <t>€</t>
        </is>
      </c>
      <c r="E35" s="12" t="inlineStr">
        <is>
          <t>B2B типография</t>
        </is>
      </c>
      <c r="F35" s="14" t="inlineStr">
        <is>
          <t>estimate</t>
        </is>
      </c>
    </row>
    <row r="36">
      <c r="A36" s="12" t="n">
        <v>33</v>
      </c>
      <c r="B36" s="12" t="inlineStr">
        <is>
          <t>Food photography сессия</t>
        </is>
      </c>
      <c r="C36" s="13" t="n">
        <v>600</v>
      </c>
      <c r="D36" s="12" t="inlineStr">
        <is>
          <t>€</t>
        </is>
      </c>
      <c r="E36" s="12" t="inlineStr">
        <is>
          <t>Local Барселона</t>
        </is>
      </c>
      <c r="F36" s="15" t="inlineStr">
        <is>
          <t>verified</t>
        </is>
      </c>
    </row>
    <row r="37">
      <c r="A37" s="12" t="n">
        <v>34</v>
      </c>
      <c r="B37" s="12" t="inlineStr">
        <is>
          <t>Резерв на оборудование</t>
        </is>
      </c>
      <c r="C37" s="13" t="n">
        <v>3000</v>
      </c>
      <c r="D37" s="12" t="inlineStr">
        <is>
          <t>€</t>
        </is>
      </c>
      <c r="E37" s="12" t="inlineStr">
        <is>
          <t>[estimate]</t>
        </is>
      </c>
      <c r="F37" s="14" t="inlineStr">
        <is>
          <t>estimate</t>
        </is>
      </c>
    </row>
    <row r="38">
      <c r="A38" s="12" t="n">
        <v>35</v>
      </c>
      <c r="B38" s="12" t="inlineStr">
        <is>
          <t>Подушка оборотных средств</t>
        </is>
      </c>
      <c r="C38" s="13" t="n">
        <v>15000</v>
      </c>
      <c r="D38" s="12" t="inlineStr">
        <is>
          <t>€</t>
        </is>
      </c>
      <c r="E38" s="12" t="inlineStr">
        <is>
          <t>2 мес OPEX</t>
        </is>
      </c>
      <c r="F38" s="14" t="inlineStr">
        <is>
          <t>estimate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6" customHeight="1">
      <c r="A1" s="11" t="inlineStr">
        <is>
          <t>UNIT ECONOMICS — Себестоимость 1 кг лаваша</t>
        </is>
      </c>
    </row>
    <row r="3">
      <c r="A3" s="2" t="inlineStr">
        <is>
          <t>Ингредиент / расход</t>
        </is>
      </c>
      <c r="B3" s="2" t="inlineStr">
        <is>
          <t>Расход на 1 кг</t>
        </is>
      </c>
      <c r="C3" s="2" t="inlineStr">
        <is>
          <t>Цена единицы</t>
        </is>
      </c>
      <c r="D3" s="2" t="inlineStr">
        <is>
          <t>Стоимость €/кг</t>
        </is>
      </c>
      <c r="E3" s="2" t="inlineStr">
        <is>
          <t>Источник в Inputs</t>
        </is>
      </c>
    </row>
    <row r="4">
      <c r="A4" s="5" t="inlineStr">
        <is>
          <t>Мука</t>
        </is>
      </c>
      <c r="B4" s="5" t="n">
        <v>0.7</v>
      </c>
      <c r="C4" s="5">
        <f>'01_Inputs'!C4</f>
        <v/>
      </c>
      <c r="D4" s="16">
        <f>B4*C4</f>
        <v/>
      </c>
      <c r="E4" s="5" t="inlineStr">
        <is>
          <t>Мука W-260 опт</t>
        </is>
      </c>
    </row>
    <row r="5">
      <c r="A5" s="5" t="inlineStr">
        <is>
          <t>Дрожжи свежие</t>
        </is>
      </c>
      <c r="B5" s="5" t="n">
        <v>0.012</v>
      </c>
      <c r="C5" s="5">
        <f>'01_Inputs'!C5</f>
        <v/>
      </c>
      <c r="D5" s="16">
        <f>B5*C5</f>
        <v/>
      </c>
      <c r="E5" s="5" t="inlineStr">
        <is>
          <t>Дрожжи свежие опт</t>
        </is>
      </c>
    </row>
    <row r="6">
      <c r="A6" s="5" t="inlineStr">
        <is>
          <t>Соль</t>
        </is>
      </c>
      <c r="B6" s="5" t="n">
        <v>0.012</v>
      </c>
      <c r="C6" s="5">
        <f>'01_Inputs'!C6</f>
        <v/>
      </c>
      <c r="D6" s="16">
        <f>B6*C6</f>
        <v/>
      </c>
      <c r="E6" s="5" t="inlineStr">
        <is>
          <t>Соль промышленная</t>
        </is>
      </c>
    </row>
    <row r="7">
      <c r="A7" s="5" t="inlineStr">
        <is>
          <t>Вода (на 0,4 л)</t>
        </is>
      </c>
      <c r="B7" s="5" t="n">
        <v>0.4</v>
      </c>
      <c r="C7" s="5">
        <f>'01_Inputs'!C7</f>
        <v/>
      </c>
      <c r="D7" s="16">
        <f>B7*C7</f>
        <v/>
      </c>
      <c r="E7" s="5" t="inlineStr">
        <is>
          <t>Вода питьевая</t>
        </is>
      </c>
    </row>
    <row r="8">
      <c r="A8" s="5" t="inlineStr">
        <is>
          <t>Электричество</t>
        </is>
      </c>
      <c r="B8" s="5" t="n">
        <v>0.8</v>
      </c>
      <c r="C8" s="5">
        <f>'01_Inputs'!C8</f>
        <v/>
      </c>
      <c r="D8" s="16">
        <f>B8*C8</f>
        <v/>
      </c>
      <c r="E8" s="5" t="inlineStr">
        <is>
          <t>Электричество PYME</t>
        </is>
      </c>
    </row>
    <row r="9">
      <c r="A9" s="17" t="inlineStr"/>
      <c r="B9" s="17" t="inlineStr"/>
      <c r="C9" s="17" t="inlineStr">
        <is>
          <t>ИТОГО сырьё+энергия (COGS)</t>
        </is>
      </c>
      <c r="D9" s="18">
        <f>SUM(D4:D8)</f>
        <v/>
      </c>
      <c r="E9" s="17" t="inlineStr"/>
    </row>
    <row r="10">
      <c r="A10" s="5" t="inlineStr">
        <is>
          <t>Упаковка пакет (на 2,5 ед/кг)</t>
        </is>
      </c>
      <c r="B10" s="5" t="n">
        <v>2.5</v>
      </c>
      <c r="C10" s="5">
        <f>'01_Inputs'!C11</f>
        <v/>
      </c>
      <c r="D10" s="16">
        <f>B10*C10</f>
        <v/>
      </c>
      <c r="E10" s="5" t="inlineStr">
        <is>
          <t>Пакет OPP 400 г</t>
        </is>
      </c>
    </row>
    <row r="11">
      <c r="A11" s="5" t="inlineStr">
        <is>
          <t>Этикетка (на 2,5 ед/кг)</t>
        </is>
      </c>
      <c r="B11" s="5" t="n">
        <v>2.5</v>
      </c>
      <c r="C11" s="5">
        <f>'01_Inputs'!C12</f>
        <v/>
      </c>
      <c r="D11" s="16">
        <f>B11*C11</f>
        <v/>
      </c>
      <c r="E11" s="5" t="inlineStr">
        <is>
          <t>Этикетка</t>
        </is>
      </c>
    </row>
    <row r="12">
      <c r="A12" s="17" t="inlineStr"/>
      <c r="B12" s="17" t="inlineStr"/>
      <c r="C12" s="17" t="inlineStr">
        <is>
          <t>ИТОГО Variable cost (COGS + упак.)</t>
        </is>
      </c>
      <c r="D12" s="18">
        <f>SUM(D4:D11)</f>
        <v/>
      </c>
      <c r="E12" s="17" t="inlineStr"/>
    </row>
    <row r="14">
      <c r="A14" s="11" t="inlineStr">
        <is>
          <t>ЦЕНЫ ПО КАНАЛАМ</t>
        </is>
      </c>
    </row>
    <row r="15">
      <c r="A15" s="2" t="inlineStr">
        <is>
          <t>Канал</t>
        </is>
      </c>
      <c r="B15" s="2" t="inlineStr">
        <is>
          <t>Цена €/кг</t>
        </is>
      </c>
      <c r="C15" s="2" t="inlineStr">
        <is>
          <t>Без IVA 4%</t>
        </is>
      </c>
      <c r="D15" s="2" t="inlineStr">
        <is>
          <t>Маржа €/кг</t>
        </is>
      </c>
      <c r="E15" s="2" t="inlineStr">
        <is>
          <t>Маржа %</t>
        </is>
      </c>
    </row>
    <row r="16">
      <c r="A16" s="5" t="inlineStr">
        <is>
          <t>Опт-HORECA дистрибьютор</t>
        </is>
      </c>
      <c r="B16" s="5" t="n">
        <v>4.5</v>
      </c>
      <c r="C16" s="6">
        <f>B16/(1+'01_Inputs'!C18)</f>
        <v/>
      </c>
      <c r="D16" s="19">
        <f>C16-'02_Unit Economics'!$D$12</f>
        <v/>
      </c>
      <c r="E16" s="9">
        <f>D16/B16</f>
        <v/>
      </c>
    </row>
    <row r="17">
      <c r="A17" s="5" t="inlineStr">
        <is>
          <t>Розница магазин (русский/халяль)</t>
        </is>
      </c>
      <c r="B17" s="5" t="n">
        <v>6</v>
      </c>
      <c r="C17" s="6">
        <f>B17/(1+'01_Inputs'!C18)</f>
        <v/>
      </c>
      <c r="D17" s="19">
        <f>C17-'02_Unit Economics'!$D$12</f>
        <v/>
      </c>
      <c r="E17" s="9">
        <f>D17/B17</f>
        <v/>
      </c>
    </row>
    <row r="18">
      <c r="A18" s="5" t="inlineStr">
        <is>
          <t>Кебаб / ливанский ресторан</t>
        </is>
      </c>
      <c r="B18" s="5" t="n">
        <v>5.5</v>
      </c>
      <c r="C18" s="6">
        <f>B18/(1+'01_Inputs'!C18)</f>
        <v/>
      </c>
      <c r="D18" s="19">
        <f>C18-'02_Unit Economics'!$D$12</f>
        <v/>
      </c>
      <c r="E18" s="9">
        <f>D18/B18</f>
        <v/>
      </c>
    </row>
    <row r="19">
      <c r="A19" s="5" t="inlineStr">
        <is>
          <t>Отель 4-5★ Коста-Брава</t>
        </is>
      </c>
      <c r="B19" s="5" t="n">
        <v>6.5</v>
      </c>
      <c r="C19" s="6">
        <f>B19/(1+'01_Inputs'!C18)</f>
        <v/>
      </c>
      <c r="D19" s="19">
        <f>C19-'02_Unit Economics'!$D$12</f>
        <v/>
      </c>
      <c r="E19" s="9">
        <f>D19/B19</f>
        <v/>
      </c>
    </row>
    <row r="20">
      <c r="A20" s="5" t="inlineStr">
        <is>
          <t>Premium retail (Bonpreu KM0)</t>
        </is>
      </c>
      <c r="B20" s="5" t="n">
        <v>7</v>
      </c>
      <c r="C20" s="6">
        <f>B20/(1+'01_Inputs'!C18)</f>
        <v/>
      </c>
      <c r="D20" s="19">
        <f>C20-'02_Unit Economics'!$D$12</f>
        <v/>
      </c>
      <c r="E20" s="9">
        <f>D20/B20</f>
        <v/>
      </c>
    </row>
    <row r="21">
      <c r="A21" s="5" t="inlineStr">
        <is>
          <t>B2C через Glovo / прямая</t>
        </is>
      </c>
      <c r="B21" s="5" t="n">
        <v>10</v>
      </c>
      <c r="C21" s="6">
        <f>B21/(1+'01_Inputs'!C18)</f>
        <v/>
      </c>
      <c r="D21" s="19">
        <f>C21-'02_Unit Economics'!$D$12</f>
        <v/>
      </c>
      <c r="E21" s="9">
        <f>D21/B21</f>
        <v/>
      </c>
    </row>
  </sheetData>
  <mergeCells count="2"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1" t="inlineStr">
        <is>
          <t>МИКС КАНАЛОВ ПРОДАЖ — 3 сценария</t>
        </is>
      </c>
    </row>
    <row r="3">
      <c r="A3" s="2" t="inlineStr">
        <is>
          <t>Канал</t>
        </is>
      </c>
      <c r="B3" s="2" t="inlineStr">
        <is>
          <t>Цена €/кг (Unit Econ)</t>
        </is>
      </c>
      <c r="C3" s="2" t="inlineStr">
        <is>
          <t>Пессимизм %</t>
        </is>
      </c>
      <c r="D3" s="2" t="inlineStr">
        <is>
          <t>Реализм %</t>
        </is>
      </c>
      <c r="E3" s="2" t="inlineStr">
        <is>
          <t>Супероптимизм %</t>
        </is>
      </c>
    </row>
    <row r="4">
      <c r="A4" s="5" t="inlineStr">
        <is>
          <t>Опт-HORECA дистрибьютор</t>
        </is>
      </c>
      <c r="B4" s="6">
        <f>'02_Unit Economics'!B16</f>
        <v/>
      </c>
      <c r="C4" s="9" t="n">
        <v>0.1</v>
      </c>
      <c r="D4" s="9" t="n">
        <v>0.2</v>
      </c>
      <c r="E4" s="9" t="n">
        <v>0.3</v>
      </c>
    </row>
    <row r="5">
      <c r="A5" s="5" t="inlineStr">
        <is>
          <t>Розница магазин (русский/халяль)</t>
        </is>
      </c>
      <c r="B5" s="6">
        <f>'02_Unit Economics'!B17</f>
        <v/>
      </c>
      <c r="C5" s="9" t="n">
        <v>0.45</v>
      </c>
      <c r="D5" s="9" t="n">
        <v>0.3</v>
      </c>
      <c r="E5" s="9" t="n">
        <v>0.2</v>
      </c>
    </row>
    <row r="6">
      <c r="A6" s="5" t="inlineStr">
        <is>
          <t>Кебаб / ливанский ресторан</t>
        </is>
      </c>
      <c r="B6" s="6">
        <f>'02_Unit Economics'!B18</f>
        <v/>
      </c>
      <c r="C6" s="9" t="n">
        <v>0.3</v>
      </c>
      <c r="D6" s="9" t="n">
        <v>0.25</v>
      </c>
      <c r="E6" s="9" t="n">
        <v>0.2</v>
      </c>
    </row>
    <row r="7">
      <c r="A7" s="5" t="inlineStr">
        <is>
          <t>Отель 4-5★ Коста-Брава</t>
        </is>
      </c>
      <c r="B7" s="6">
        <f>'02_Unit Economics'!B19</f>
        <v/>
      </c>
      <c r="C7" s="9" t="n">
        <v>0.05</v>
      </c>
      <c r="D7" s="9" t="n">
        <v>0.12</v>
      </c>
      <c r="E7" s="9" t="n">
        <v>0.15</v>
      </c>
    </row>
    <row r="8">
      <c r="A8" s="5" t="inlineStr">
        <is>
          <t>Premium retail (Bonpreu KM0)</t>
        </is>
      </c>
      <c r="B8" s="6">
        <f>'02_Unit Economics'!B20</f>
        <v/>
      </c>
      <c r="C8" s="9" t="n">
        <v>0</v>
      </c>
      <c r="D8" s="9" t="n">
        <v>0.05</v>
      </c>
      <c r="E8" s="9" t="n">
        <v>0.1</v>
      </c>
    </row>
    <row r="9">
      <c r="A9" s="5" t="inlineStr">
        <is>
          <t>B2C через Glovo / прямая</t>
        </is>
      </c>
      <c r="B9" s="6">
        <f>'02_Unit Economics'!B21</f>
        <v/>
      </c>
      <c r="C9" s="9" t="n">
        <v>0.1</v>
      </c>
      <c r="D9" s="9" t="n">
        <v>0.08</v>
      </c>
      <c r="E9" s="9" t="n">
        <v>0.05</v>
      </c>
    </row>
    <row r="10">
      <c r="A10" s="17" t="inlineStr"/>
      <c r="B10" s="17" t="inlineStr">
        <is>
          <t>СУММА %</t>
        </is>
      </c>
      <c r="C10" s="20">
        <f>SUM(C4:C9)</f>
        <v/>
      </c>
      <c r="D10" s="20">
        <f>SUM(D4:D9)</f>
        <v/>
      </c>
      <c r="E10" s="20">
        <f>SUM(E4:E9)</f>
        <v/>
      </c>
    </row>
    <row r="12">
      <c r="A12" s="3" t="inlineStr">
        <is>
          <t>Средневзвешенная цена €/кг</t>
        </is>
      </c>
      <c r="B12" s="3" t="inlineStr"/>
      <c r="C12" s="21">
        <f>SUMPRODUCT(B4:B9,C4:C9)</f>
        <v/>
      </c>
      <c r="D12" s="21">
        <f>SUMPRODUCT(B4:B9,D4:D9)</f>
        <v/>
      </c>
      <c r="E12" s="21">
        <f>SUMPRODUCT(B4:B9,E4:E9)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8" customWidth="1" min="5" max="5"/>
  </cols>
  <sheetData>
    <row r="1" ht="26" customHeight="1">
      <c r="A1" s="11" t="inlineStr">
        <is>
          <t>ОБЪЁМ ПРОИЗВОДСТВА — 12 МЕСЯЦЕВ × 3 СЦЕНАРИЯ</t>
        </is>
      </c>
    </row>
    <row r="4">
      <c r="A4" s="2" t="inlineStr">
        <is>
          <t>Месяц</t>
        </is>
      </c>
      <c r="B4" s="2" t="inlineStr">
        <is>
          <t>Кг/мес ПЕССИМ</t>
        </is>
      </c>
      <c r="C4" s="2" t="inlineStr">
        <is>
          <t>Кг/мес РЕАЛИЗМ</t>
        </is>
      </c>
      <c r="D4" s="2" t="inlineStr">
        <is>
          <t>Кг/мес СУПЕР-ОПТ</t>
        </is>
      </c>
      <c r="E4" s="2" t="inlineStr">
        <is>
          <t>Комментарий</t>
        </is>
      </c>
    </row>
    <row r="5">
      <c r="A5" s="5" t="inlineStr">
        <is>
          <t>M1 Setup</t>
        </is>
      </c>
      <c r="B5" s="22" t="n">
        <v>150</v>
      </c>
      <c r="C5" s="22" t="n">
        <v>250</v>
      </c>
      <c r="D5" s="22" t="n">
        <v>500</v>
      </c>
      <c r="E5" s="5" t="inlineStr">
        <is>
          <t>RSIPAC получен, первые продажи</t>
        </is>
      </c>
    </row>
    <row r="6">
      <c r="A6" s="5" t="inlineStr">
        <is>
          <t>M2</t>
        </is>
      </c>
      <c r="B6" s="22" t="n">
        <v>300</v>
      </c>
      <c r="C6" s="22" t="n">
        <v>500</v>
      </c>
      <c r="D6" s="22" t="n">
        <v>900</v>
      </c>
      <c r="E6" s="5" t="inlineStr">
        <is>
          <t>Лёлёкат разогрев</t>
        </is>
      </c>
    </row>
    <row r="7">
      <c r="A7" s="5" t="inlineStr">
        <is>
          <t>M3</t>
        </is>
      </c>
      <c r="B7" s="22" t="n">
        <v>500</v>
      </c>
      <c r="C7" s="22" t="n">
        <v>900</v>
      </c>
      <c r="D7" s="22" t="n">
        <v>1500</v>
      </c>
      <c r="E7" s="5" t="inlineStr">
        <is>
          <t>Льорет full активность</t>
        </is>
      </c>
    </row>
    <row r="8">
      <c r="A8" s="5" t="inlineStr">
        <is>
          <t>M4</t>
        </is>
      </c>
      <c r="B8" s="22" t="n">
        <v>700</v>
      </c>
      <c r="C8" s="22" t="n">
        <v>1300</v>
      </c>
      <c r="D8" s="22" t="n">
        <v>2200</v>
      </c>
      <c r="E8" s="5" t="inlineStr">
        <is>
          <t>Глово/UberEats запущены</t>
        </is>
      </c>
    </row>
    <row r="9">
      <c r="A9" s="5" t="inlineStr">
        <is>
          <t>M5 BE-Realism</t>
        </is>
      </c>
      <c r="B9" s="22" t="n">
        <v>900</v>
      </c>
      <c r="C9" s="22" t="n">
        <v>1500</v>
      </c>
      <c r="D9" s="22" t="n">
        <v>2800</v>
      </c>
      <c r="E9" s="5" t="inlineStr">
        <is>
          <t>Реализм break-even</t>
        </is>
      </c>
    </row>
    <row r="10">
      <c r="A10" s="5" t="inlineStr">
        <is>
          <t>M6</t>
        </is>
      </c>
      <c r="B10" s="22" t="n">
        <v>1100</v>
      </c>
      <c r="C10" s="22" t="n">
        <v>1800</v>
      </c>
      <c r="D10" s="22" t="n">
        <v>3500</v>
      </c>
      <c r="E10" s="5" t="inlineStr">
        <is>
          <t>Halal активирован</t>
        </is>
      </c>
    </row>
    <row r="11">
      <c r="A11" s="5" t="inlineStr">
        <is>
          <t>M7 Q3</t>
        </is>
      </c>
      <c r="B11" s="22" t="n">
        <v>1300</v>
      </c>
      <c r="C11" s="22" t="n">
        <v>2200</v>
      </c>
      <c r="D11" s="22" t="n">
        <v>4200</v>
      </c>
      <c r="E11" s="5" t="inlineStr">
        <is>
          <t>HORECA контракты</t>
        </is>
      </c>
    </row>
    <row r="12">
      <c r="A12" s="5" t="inlineStr">
        <is>
          <t>M8</t>
        </is>
      </c>
      <c r="B12" s="22" t="n">
        <v>1500</v>
      </c>
      <c r="C12" s="22" t="n">
        <v>2500</v>
      </c>
      <c r="D12" s="22" t="n">
        <v>4800</v>
      </c>
      <c r="E12" s="5" t="inlineStr">
        <is>
          <t>Барселона расширение</t>
        </is>
      </c>
    </row>
    <row r="13">
      <c r="A13" s="5" t="inlineStr">
        <is>
          <t>M9</t>
        </is>
      </c>
      <c r="B13" s="22" t="n">
        <v>1700</v>
      </c>
      <c r="C13" s="22" t="n">
        <v>2800</v>
      </c>
      <c r="D13" s="22" t="n">
        <v>5400</v>
      </c>
      <c r="E13" s="5" t="inlineStr">
        <is>
          <t>Bonpreu KM0 пилот</t>
        </is>
      </c>
    </row>
    <row r="14">
      <c r="A14" s="5" t="inlineStr">
        <is>
          <t>M10</t>
        </is>
      </c>
      <c r="B14" s="22" t="n">
        <v>1850</v>
      </c>
      <c r="C14" s="22" t="n">
        <v>3050</v>
      </c>
      <c r="D14" s="22" t="n">
        <v>5800</v>
      </c>
      <c r="E14" s="5" t="inlineStr">
        <is>
          <t>Отели сезон</t>
        </is>
      </c>
    </row>
    <row r="15">
      <c r="A15" s="5" t="inlineStr">
        <is>
          <t>M11</t>
        </is>
      </c>
      <c r="B15" s="22" t="n">
        <v>1950</v>
      </c>
      <c r="C15" s="22" t="n">
        <v>3250</v>
      </c>
      <c r="D15" s="22" t="n">
        <v>6000</v>
      </c>
      <c r="E15" s="5" t="inlineStr">
        <is>
          <t>Стабилизация</t>
        </is>
      </c>
    </row>
    <row r="16">
      <c r="A16" s="5" t="inlineStr">
        <is>
          <t>M12</t>
        </is>
      </c>
      <c r="B16" s="22" t="n">
        <v>2000</v>
      </c>
      <c r="C16" s="22" t="n">
        <v>3500</v>
      </c>
      <c r="D16" s="22" t="n">
        <v>6200</v>
      </c>
      <c r="E16" s="5" t="inlineStr">
        <is>
          <t>Готовы к scale</t>
        </is>
      </c>
    </row>
    <row r="17">
      <c r="A17" s="17" t="inlineStr">
        <is>
          <t>ИТОГО год 1 (кг)</t>
        </is>
      </c>
      <c r="B17" s="23">
        <f>SUM(B5:B16)</f>
        <v/>
      </c>
      <c r="C17" s="23">
        <f>SUM(C5:C16)</f>
        <v/>
      </c>
      <c r="D17" s="23">
        <f>SUM(D5:D16)</f>
        <v/>
      </c>
      <c r="E17" s="17" t="inlineStr"/>
    </row>
    <row r="18">
      <c r="A18" s="3" t="inlineStr">
        <is>
          <t>В среднем кг/день (6 раб.дн/нед)</t>
        </is>
      </c>
      <c r="B18" s="24">
        <f>B17/12/26</f>
        <v/>
      </c>
      <c r="C18" s="24">
        <f>C17/12/26</f>
        <v/>
      </c>
      <c r="D18" s="24">
        <f>D17/12/26</f>
        <v/>
      </c>
      <c r="E18" s="3" t="inlineStr">
        <is>
          <t>26 раб.дней/мес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11" t="inlineStr">
        <is>
          <t>OPEX — Фиксированные ежемесячные расходы</t>
        </is>
      </c>
    </row>
    <row r="3">
      <c r="A3" s="2" t="inlineStr">
        <is>
          <t>Статья</t>
        </is>
      </c>
      <c r="B3" s="2" t="inlineStr">
        <is>
          <t>Пессимизм €/мес</t>
        </is>
      </c>
      <c r="C3" s="2" t="inlineStr">
        <is>
          <t>Реализм €/мес</t>
        </is>
      </c>
      <c r="D3" s="2" t="inlineStr">
        <is>
          <t>Супер-опт €/мес</t>
        </is>
      </c>
    </row>
    <row r="4">
      <c r="A4" s="5" t="inlineStr">
        <is>
          <t>ЗП Элен (директор)</t>
        </is>
      </c>
      <c r="B4" s="7">
        <f>'01_Inputs'!C17*(1+'01_Inputs'!C14)</f>
        <v/>
      </c>
      <c r="C4" s="7">
        <f>'01_Inputs'!C17*(1+'01_Inputs'!C14)</f>
        <v/>
      </c>
      <c r="D4" s="7">
        <f>'01_Inputs'!C17*(1+'01_Inputs'!C14)</f>
        <v/>
      </c>
    </row>
    <row r="5">
      <c r="A5" s="5" t="inlineStr">
        <is>
          <t>ЗП пекарь 1</t>
        </is>
      </c>
      <c r="B5" s="7">
        <f>'01_Inputs'!C15*(1+'01_Inputs'!C14)</f>
        <v/>
      </c>
      <c r="C5" s="7">
        <f>'01_Inputs'!C15*(1+'01_Inputs'!C14)</f>
        <v/>
      </c>
      <c r="D5" s="7">
        <f>'01_Inputs'!C15*(1+'01_Inputs'!C14)</f>
        <v/>
      </c>
    </row>
    <row r="6">
      <c r="A6" s="5" t="inlineStr">
        <is>
          <t>ЗП помощник 1</t>
        </is>
      </c>
      <c r="B6" s="7">
        <f>'01_Inputs'!C16*(1+'01_Inputs'!C14)</f>
        <v/>
      </c>
      <c r="C6" s="7">
        <f>'01_Inputs'!C16*(1+'01_Inputs'!C14)</f>
        <v/>
      </c>
      <c r="D6" s="7">
        <f>'01_Inputs'!C16*(1+'01_Inputs'!C14)</f>
        <v/>
      </c>
    </row>
    <row r="7">
      <c r="A7" s="5" t="inlineStr">
        <is>
          <t>Cuota autónomo Элен</t>
        </is>
      </c>
      <c r="B7" s="7">
        <f>'01_Inputs'!C19</f>
        <v/>
      </c>
      <c r="C7" s="7">
        <f>'01_Inputs'!C19</f>
        <v/>
      </c>
      <c r="D7" s="7">
        <f>'01_Inputs'!C19</f>
        <v/>
      </c>
    </row>
    <row r="8">
      <c r="A8" s="5" t="inlineStr">
        <is>
          <t>Электричество</t>
        </is>
      </c>
      <c r="B8" s="7" t="inlineStr">
        <is>
          <t>470</t>
        </is>
      </c>
      <c r="C8" s="7" t="inlineStr">
        <is>
          <t>550</t>
        </is>
      </c>
      <c r="D8" s="7" t="inlineStr">
        <is>
          <t>650</t>
        </is>
      </c>
    </row>
    <row r="9">
      <c r="A9" s="5" t="inlineStr">
        <is>
          <t>Газ</t>
        </is>
      </c>
      <c r="B9" s="7" t="inlineStr">
        <is>
          <t>0</t>
        </is>
      </c>
      <c r="C9" s="7" t="inlineStr">
        <is>
          <t>150</t>
        </is>
      </c>
      <c r="D9" s="7" t="inlineStr">
        <is>
          <t>200</t>
        </is>
      </c>
    </row>
    <row r="10">
      <c r="A10" s="5" t="inlineStr">
        <is>
          <t>Вода и канализация</t>
        </is>
      </c>
      <c r="B10" s="7" t="inlineStr">
        <is>
          <t>60</t>
        </is>
      </c>
      <c r="C10" s="7" t="inlineStr">
        <is>
          <t>85</t>
        </is>
      </c>
      <c r="D10" s="7" t="inlineStr">
        <is>
          <t>120</t>
        </is>
      </c>
    </row>
    <row r="11">
      <c r="A11" s="5" t="inlineStr">
        <is>
          <t>Internet + телефон</t>
        </is>
      </c>
      <c r="B11" s="7">
        <f>'01_Inputs'!C21</f>
        <v/>
      </c>
      <c r="C11" s="7">
        <f>'01_Inputs'!C21</f>
        <v/>
      </c>
      <c r="D11" s="7">
        <f>'01_Inputs'!C21</f>
        <v/>
      </c>
    </row>
    <row r="12">
      <c r="A12" s="5" t="inlineStr">
        <is>
          <t>Asesoría fiscal</t>
        </is>
      </c>
      <c r="B12" s="7">
        <f>'01_Inputs'!C20</f>
        <v/>
      </c>
      <c r="C12" s="7">
        <f>'01_Inputs'!C20</f>
        <v/>
      </c>
      <c r="D12" s="7">
        <f>'01_Inputs'!C20</f>
        <v/>
      </c>
    </row>
    <row r="13">
      <c r="A13" s="5" t="inlineStr">
        <is>
          <t>Страхование RC</t>
        </is>
      </c>
      <c r="B13" s="7">
        <f>'01_Inputs'!C22</f>
        <v/>
      </c>
      <c r="C13" s="7">
        <f>'01_Inputs'!C22</f>
        <v/>
      </c>
      <c r="D13" s="7" t="inlineStr">
        <is>
          <t>150</t>
        </is>
      </c>
    </row>
    <row r="14">
      <c r="A14" s="5" t="inlineStr">
        <is>
          <t>SMM-менеджер</t>
        </is>
      </c>
      <c r="B14" s="7" t="inlineStr">
        <is>
          <t>250</t>
        </is>
      </c>
      <c r="C14" s="7">
        <f>'01_Inputs'!C23</f>
        <v/>
      </c>
      <c r="D14" s="7" t="inlineStr">
        <is>
          <t>500</t>
        </is>
      </c>
    </row>
    <row r="15">
      <c r="A15" s="5" t="inlineStr">
        <is>
          <t>Логистика</t>
        </is>
      </c>
      <c r="B15" s="7" t="inlineStr">
        <is>
          <t>200</t>
        </is>
      </c>
      <c r="C15" s="7">
        <f>'01_Inputs'!C24</f>
        <v/>
      </c>
      <c r="D15" s="7" t="inlineStr">
        <is>
          <t>400</t>
        </is>
      </c>
    </row>
    <row r="16">
      <c r="A16" s="5" t="inlineStr">
        <is>
          <t>Hygiene supplies</t>
        </is>
      </c>
      <c r="B16" s="7" t="inlineStr">
        <is>
          <t>80</t>
        </is>
      </c>
      <c r="C16" s="7">
        <f>'01_Inputs'!C25</f>
        <v/>
      </c>
      <c r="D16" s="7" t="inlineStr">
        <is>
          <t>120</t>
        </is>
      </c>
    </row>
    <row r="17">
      <c r="A17" s="5" t="inlineStr">
        <is>
          <t>Амортизация помещения</t>
        </is>
      </c>
      <c r="B17" s="7">
        <f>'01_Inputs'!C26</f>
        <v/>
      </c>
      <c r="C17" s="7">
        <f>'01_Inputs'!C26</f>
        <v/>
      </c>
      <c r="D17" s="7">
        <f>'01_Inputs'!C26</f>
        <v/>
      </c>
    </row>
    <row r="18">
      <c r="A18" s="5" t="inlineStr">
        <is>
          <t>Прочие (банк, услуги)</t>
        </is>
      </c>
      <c r="B18" s="7" t="inlineStr">
        <is>
          <t>100</t>
        </is>
      </c>
      <c r="C18" s="7">
        <f>'01_Inputs'!C27</f>
        <v/>
      </c>
      <c r="D18" s="7" t="inlineStr">
        <is>
          <t>150</t>
        </is>
      </c>
    </row>
    <row r="19">
      <c r="A19" s="17" t="inlineStr">
        <is>
          <t>ИТОГО OPEX/мес</t>
        </is>
      </c>
      <c r="B19" s="8">
        <f>SUM(B4:B18)</f>
        <v/>
      </c>
      <c r="C19" s="8">
        <f>SUM(C4:C18)</f>
        <v/>
      </c>
      <c r="D19" s="8">
        <f>SUM(D4:D18)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28" customWidth="1" min="4" max="4"/>
  </cols>
  <sheetData>
    <row r="1" ht="26" customHeight="1">
      <c r="A1" s="11" t="inlineStr">
        <is>
          <t>CAPEX + СТАРТОВЫЕ РАСХОДЫ</t>
        </is>
      </c>
    </row>
    <row r="3">
      <c r="A3" s="2" t="inlineStr">
        <is>
          <t>Статья</t>
        </is>
      </c>
      <c r="B3" s="2" t="inlineStr">
        <is>
          <t>Сумма €</t>
        </is>
      </c>
      <c r="C3" s="2" t="inlineStr">
        <is>
          <t>Когда</t>
        </is>
      </c>
      <c r="D3" s="2" t="inlineStr">
        <is>
          <t>Источник</t>
        </is>
      </c>
    </row>
    <row r="4">
      <c r="A4" s="5" t="inlineStr">
        <is>
          <t>Constitución SL</t>
        </is>
      </c>
      <c r="B4" s="25">
        <f>'01_Inputs'!C28</f>
        <v/>
      </c>
      <c r="C4" s="5" t="inlineStr">
        <is>
          <t>M0</t>
        </is>
      </c>
      <c r="D4" s="5" t="inlineStr">
        <is>
          <t>Notario+Registro</t>
        </is>
      </c>
    </row>
    <row r="5">
      <c r="A5" s="5" t="inlineStr">
        <is>
          <t>RSIPAC регистрация</t>
        </is>
      </c>
      <c r="B5" s="25">
        <f>'01_Inputs'!C29</f>
        <v/>
      </c>
      <c r="C5" s="5" t="inlineStr">
        <is>
          <t>M0</t>
        </is>
      </c>
      <c r="D5" s="5" t="inlineStr">
        <is>
          <t>Gencat</t>
        </is>
      </c>
    </row>
    <row r="6">
      <c r="A6" s="5" t="inlineStr">
        <is>
          <t>RGSEAA + Licencia</t>
        </is>
      </c>
      <c r="B6" s="25">
        <f>'01_Inputs'!C30</f>
        <v/>
      </c>
      <c r="C6" s="5" t="inlineStr">
        <is>
          <t>M1</t>
        </is>
      </c>
      <c r="D6" s="5" t="inlineStr">
        <is>
          <t>AESAN + Ajunt.</t>
        </is>
      </c>
    </row>
    <row r="7">
      <c r="A7" s="5" t="inlineStr">
        <is>
          <t>HACCP консультант</t>
        </is>
      </c>
      <c r="B7" s="25">
        <f>'01_Inputs'!C31</f>
        <v/>
      </c>
      <c r="C7" s="5" t="inlineStr">
        <is>
          <t>M1</t>
        </is>
      </c>
      <c r="D7" s="5" t="inlineStr">
        <is>
          <t>Ambialia</t>
        </is>
      </c>
    </row>
    <row r="8">
      <c r="A8" s="5" t="inlineStr">
        <is>
          <t>EAN регистрация GS1</t>
        </is>
      </c>
      <c r="B8" s="25">
        <f>'01_Inputs'!C32</f>
        <v/>
      </c>
      <c r="C8" s="5" t="inlineStr">
        <is>
          <t>M1</t>
        </is>
      </c>
      <c r="D8" s="5" t="inlineStr">
        <is>
          <t>GS1 Spain</t>
        </is>
      </c>
    </row>
    <row r="9">
      <c r="A9" s="5" t="inlineStr">
        <is>
          <t>Halal-сертификат (опционально)</t>
        </is>
      </c>
      <c r="B9" s="25">
        <f>'01_Inputs'!C33</f>
        <v/>
      </c>
      <c r="C9" s="5" t="inlineStr">
        <is>
          <t>M2-M4</t>
        </is>
      </c>
      <c r="D9" s="5" t="inlineStr">
        <is>
          <t>Instituto Halal</t>
        </is>
      </c>
    </row>
    <row r="10">
      <c r="A10" s="5" t="inlineStr">
        <is>
          <t>Дизайн логотипа + упаковки</t>
        </is>
      </c>
      <c r="B10" s="25">
        <f>'01_Inputs'!C34</f>
        <v/>
      </c>
      <c r="C10" s="5" t="inlineStr">
        <is>
          <t>M1</t>
        </is>
      </c>
      <c r="D10" s="5" t="inlineStr">
        <is>
          <t>Фрилансер</t>
        </is>
      </c>
    </row>
    <row r="11">
      <c r="A11" s="5" t="inlineStr">
        <is>
          <t>Печать упаковки стартовая партия</t>
        </is>
      </c>
      <c r="B11" s="25">
        <f>'01_Inputs'!C35</f>
        <v/>
      </c>
      <c r="C11" s="5" t="inlineStr">
        <is>
          <t>M1-M2</t>
        </is>
      </c>
      <c r="D11" s="5" t="inlineStr">
        <is>
          <t>B2B</t>
        </is>
      </c>
    </row>
    <row r="12">
      <c r="A12" s="5" t="inlineStr">
        <is>
          <t>Food photography</t>
        </is>
      </c>
      <c r="B12" s="25">
        <f>'01_Inputs'!C36</f>
        <v/>
      </c>
      <c r="C12" s="5" t="inlineStr">
        <is>
          <t>M2</t>
        </is>
      </c>
      <c r="D12" s="5" t="inlineStr">
        <is>
          <t>Local</t>
        </is>
      </c>
    </row>
    <row r="13">
      <c r="A13" s="5" t="inlineStr">
        <is>
          <t>Резерв на оборудование/ремонт</t>
        </is>
      </c>
      <c r="B13" s="25">
        <f>'01_Inputs'!C37</f>
        <v/>
      </c>
      <c r="C13" s="5" t="inlineStr">
        <is>
          <t>M1-M3</t>
        </is>
      </c>
      <c r="D13" s="5" t="inlineStr">
        <is>
          <t>[estimate]</t>
        </is>
      </c>
    </row>
    <row r="14">
      <c r="A14" s="5" t="inlineStr">
        <is>
          <t>Подушка оборотных средств</t>
        </is>
      </c>
      <c r="B14" s="25">
        <f>'01_Inputs'!C38</f>
        <v/>
      </c>
      <c r="C14" s="5" t="inlineStr">
        <is>
          <t>M0</t>
        </is>
      </c>
      <c r="D14" s="5" t="inlineStr">
        <is>
          <t>2 мес OPEX</t>
        </is>
      </c>
    </row>
    <row r="15">
      <c r="A15" s="17" t="inlineStr">
        <is>
          <t>ИТОГО CAPEX</t>
        </is>
      </c>
      <c r="B15" s="8">
        <f>SUM(B4:B14)</f>
        <v/>
      </c>
      <c r="C15" s="17" t="inlineStr"/>
      <c r="D15" s="17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6" customHeight="1">
      <c r="A1" s="11" t="inlineStr">
        <is>
          <t>P&amp;L 12 МЕСЯЦЕВ — ПЕССИМИСТИЧЕСКИЙ</t>
        </is>
      </c>
    </row>
    <row r="3">
      <c r="A3" s="2" t="inlineStr">
        <is>
          <t>Месяц</t>
        </is>
      </c>
      <c r="B3" s="2" t="inlineStr">
        <is>
          <t>Кг/мес</t>
        </is>
      </c>
      <c r="C3" s="2" t="inlineStr">
        <is>
          <t>Ср.цена €/кг</t>
        </is>
      </c>
      <c r="D3" s="2" t="inlineStr">
        <is>
          <t>Выручка €</t>
        </is>
      </c>
      <c r="E3" s="2" t="inlineStr">
        <is>
          <t>Variable cost €</t>
        </is>
      </c>
      <c r="F3" s="2" t="inlineStr">
        <is>
          <t>OPEX €</t>
        </is>
      </c>
      <c r="G3" s="2" t="inlineStr">
        <is>
          <t>EBITDA €</t>
        </is>
      </c>
      <c r="H3" s="2" t="inlineStr">
        <is>
          <t>Накоп. EBITDA €</t>
        </is>
      </c>
    </row>
    <row r="4">
      <c r="A4" s="5">
        <f>"M"&amp;1</f>
        <v/>
      </c>
      <c r="B4" s="26">
        <f>'04_Production Ramp'!B5</f>
        <v/>
      </c>
      <c r="C4" s="6">
        <f>'03_Sales Mix'!C12</f>
        <v/>
      </c>
      <c r="D4" s="7">
        <f>B4*C4</f>
        <v/>
      </c>
      <c r="E4" s="7">
        <f>B4*'02_Unit Economics'!$D$12</f>
        <v/>
      </c>
      <c r="F4" s="7">
        <f>'05_OPEX Monthly'!B19</f>
        <v/>
      </c>
      <c r="G4" s="25">
        <f>D4-E4-F4</f>
        <v/>
      </c>
      <c r="H4" s="25">
        <f>G4</f>
        <v/>
      </c>
    </row>
    <row r="5">
      <c r="A5" s="5">
        <f>"M"&amp;2</f>
        <v/>
      </c>
      <c r="B5" s="26">
        <f>'04_Production Ramp'!B6</f>
        <v/>
      </c>
      <c r="C5" s="6">
        <f>'03_Sales Mix'!C12</f>
        <v/>
      </c>
      <c r="D5" s="7">
        <f>B5*C5</f>
        <v/>
      </c>
      <c r="E5" s="7">
        <f>B5*'02_Unit Economics'!$D$12</f>
        <v/>
      </c>
      <c r="F5" s="7">
        <f>'05_OPEX Monthly'!B19</f>
        <v/>
      </c>
      <c r="G5" s="25">
        <f>D5-E5-F5</f>
        <v/>
      </c>
      <c r="H5" s="25">
        <f>H4+G5</f>
        <v/>
      </c>
    </row>
    <row r="6">
      <c r="A6" s="5">
        <f>"M"&amp;3</f>
        <v/>
      </c>
      <c r="B6" s="26">
        <f>'04_Production Ramp'!B7</f>
        <v/>
      </c>
      <c r="C6" s="6">
        <f>'03_Sales Mix'!C12</f>
        <v/>
      </c>
      <c r="D6" s="7">
        <f>B6*C6</f>
        <v/>
      </c>
      <c r="E6" s="7">
        <f>B6*'02_Unit Economics'!$D$12</f>
        <v/>
      </c>
      <c r="F6" s="7">
        <f>'05_OPEX Monthly'!B19</f>
        <v/>
      </c>
      <c r="G6" s="25">
        <f>D6-E6-F6</f>
        <v/>
      </c>
      <c r="H6" s="25">
        <f>H5+G6</f>
        <v/>
      </c>
    </row>
    <row r="7">
      <c r="A7" s="5">
        <f>"M"&amp;4</f>
        <v/>
      </c>
      <c r="B7" s="26">
        <f>'04_Production Ramp'!B8</f>
        <v/>
      </c>
      <c r="C7" s="6">
        <f>'03_Sales Mix'!C12</f>
        <v/>
      </c>
      <c r="D7" s="7">
        <f>B7*C7</f>
        <v/>
      </c>
      <c r="E7" s="7">
        <f>B7*'02_Unit Economics'!$D$12</f>
        <v/>
      </c>
      <c r="F7" s="7">
        <f>'05_OPEX Monthly'!B19</f>
        <v/>
      </c>
      <c r="G7" s="25">
        <f>D7-E7-F7</f>
        <v/>
      </c>
      <c r="H7" s="25">
        <f>H6+G7</f>
        <v/>
      </c>
    </row>
    <row r="8">
      <c r="A8" s="5">
        <f>"M"&amp;5</f>
        <v/>
      </c>
      <c r="B8" s="26">
        <f>'04_Production Ramp'!B9</f>
        <v/>
      </c>
      <c r="C8" s="6">
        <f>'03_Sales Mix'!C12</f>
        <v/>
      </c>
      <c r="D8" s="7">
        <f>B8*C8</f>
        <v/>
      </c>
      <c r="E8" s="7">
        <f>B8*'02_Unit Economics'!$D$12</f>
        <v/>
      </c>
      <c r="F8" s="7">
        <f>'05_OPEX Monthly'!B19</f>
        <v/>
      </c>
      <c r="G8" s="25">
        <f>D8-E8-F8</f>
        <v/>
      </c>
      <c r="H8" s="25">
        <f>H7+G8</f>
        <v/>
      </c>
    </row>
    <row r="9">
      <c r="A9" s="5">
        <f>"M"&amp;6</f>
        <v/>
      </c>
      <c r="B9" s="26">
        <f>'04_Production Ramp'!B10</f>
        <v/>
      </c>
      <c r="C9" s="6">
        <f>'03_Sales Mix'!C12</f>
        <v/>
      </c>
      <c r="D9" s="7">
        <f>B9*C9</f>
        <v/>
      </c>
      <c r="E9" s="7">
        <f>B9*'02_Unit Economics'!$D$12</f>
        <v/>
      </c>
      <c r="F9" s="7">
        <f>'05_OPEX Monthly'!B19</f>
        <v/>
      </c>
      <c r="G9" s="25">
        <f>D9-E9-F9</f>
        <v/>
      </c>
      <c r="H9" s="25">
        <f>H8+G9</f>
        <v/>
      </c>
    </row>
    <row r="10">
      <c r="A10" s="5">
        <f>"M"&amp;7</f>
        <v/>
      </c>
      <c r="B10" s="26">
        <f>'04_Production Ramp'!B11</f>
        <v/>
      </c>
      <c r="C10" s="6">
        <f>'03_Sales Mix'!C12</f>
        <v/>
      </c>
      <c r="D10" s="7">
        <f>B10*C10</f>
        <v/>
      </c>
      <c r="E10" s="7">
        <f>B10*'02_Unit Economics'!$D$12</f>
        <v/>
      </c>
      <c r="F10" s="7">
        <f>'05_OPEX Monthly'!B19</f>
        <v/>
      </c>
      <c r="G10" s="25">
        <f>D10-E10-F10</f>
        <v/>
      </c>
      <c r="H10" s="25">
        <f>H9+G10</f>
        <v/>
      </c>
    </row>
    <row r="11">
      <c r="A11" s="5">
        <f>"M"&amp;8</f>
        <v/>
      </c>
      <c r="B11" s="26">
        <f>'04_Production Ramp'!B12</f>
        <v/>
      </c>
      <c r="C11" s="6">
        <f>'03_Sales Mix'!C12</f>
        <v/>
      </c>
      <c r="D11" s="7">
        <f>B11*C11</f>
        <v/>
      </c>
      <c r="E11" s="7">
        <f>B11*'02_Unit Economics'!$D$12</f>
        <v/>
      </c>
      <c r="F11" s="7">
        <f>'05_OPEX Monthly'!B19</f>
        <v/>
      </c>
      <c r="G11" s="25">
        <f>D11-E11-F11</f>
        <v/>
      </c>
      <c r="H11" s="25">
        <f>H10+G11</f>
        <v/>
      </c>
    </row>
    <row r="12">
      <c r="A12" s="5">
        <f>"M"&amp;9</f>
        <v/>
      </c>
      <c r="B12" s="26">
        <f>'04_Production Ramp'!B13</f>
        <v/>
      </c>
      <c r="C12" s="6">
        <f>'03_Sales Mix'!C12</f>
        <v/>
      </c>
      <c r="D12" s="7">
        <f>B12*C12</f>
        <v/>
      </c>
      <c r="E12" s="7">
        <f>B12*'02_Unit Economics'!$D$12</f>
        <v/>
      </c>
      <c r="F12" s="7">
        <f>'05_OPEX Monthly'!B19</f>
        <v/>
      </c>
      <c r="G12" s="25">
        <f>D12-E12-F12</f>
        <v/>
      </c>
      <c r="H12" s="25">
        <f>H11+G12</f>
        <v/>
      </c>
    </row>
    <row r="13">
      <c r="A13" s="5">
        <f>"M"&amp;10</f>
        <v/>
      </c>
      <c r="B13" s="26">
        <f>'04_Production Ramp'!B14</f>
        <v/>
      </c>
      <c r="C13" s="6">
        <f>'03_Sales Mix'!C12</f>
        <v/>
      </c>
      <c r="D13" s="7">
        <f>B13*C13</f>
        <v/>
      </c>
      <c r="E13" s="7">
        <f>B13*'02_Unit Economics'!$D$12</f>
        <v/>
      </c>
      <c r="F13" s="7">
        <f>'05_OPEX Monthly'!B19</f>
        <v/>
      </c>
      <c r="G13" s="25">
        <f>D13-E13-F13</f>
        <v/>
      </c>
      <c r="H13" s="25">
        <f>H12+G13</f>
        <v/>
      </c>
    </row>
    <row r="14">
      <c r="A14" s="5">
        <f>"M"&amp;11</f>
        <v/>
      </c>
      <c r="B14" s="26">
        <f>'04_Production Ramp'!B15</f>
        <v/>
      </c>
      <c r="C14" s="6">
        <f>'03_Sales Mix'!C12</f>
        <v/>
      </c>
      <c r="D14" s="7">
        <f>B14*C14</f>
        <v/>
      </c>
      <c r="E14" s="7">
        <f>B14*'02_Unit Economics'!$D$12</f>
        <v/>
      </c>
      <c r="F14" s="7">
        <f>'05_OPEX Monthly'!B19</f>
        <v/>
      </c>
      <c r="G14" s="25">
        <f>D14-E14-F14</f>
        <v/>
      </c>
      <c r="H14" s="25">
        <f>H13+G14</f>
        <v/>
      </c>
    </row>
    <row r="15">
      <c r="A15" s="5">
        <f>"M"&amp;12</f>
        <v/>
      </c>
      <c r="B15" s="26">
        <f>'04_Production Ramp'!B16</f>
        <v/>
      </c>
      <c r="C15" s="6">
        <f>'03_Sales Mix'!C12</f>
        <v/>
      </c>
      <c r="D15" s="7">
        <f>B15*C15</f>
        <v/>
      </c>
      <c r="E15" s="7">
        <f>B15*'02_Unit Economics'!$D$12</f>
        <v/>
      </c>
      <c r="F15" s="7">
        <f>'05_OPEX Monthly'!B19</f>
        <v/>
      </c>
      <c r="G15" s="25">
        <f>D15-E15-F15</f>
        <v/>
      </c>
      <c r="H15" s="25">
        <f>H14+G15</f>
        <v/>
      </c>
    </row>
    <row r="16">
      <c r="A16" s="17" t="inlineStr">
        <is>
          <t>Год 1 ИТОГО</t>
        </is>
      </c>
      <c r="B16" s="23">
        <f>SUM(B4:B15)</f>
        <v/>
      </c>
      <c r="C16" s="17" t="inlineStr"/>
      <c r="D16" s="8">
        <f>SUM(D4:D15)</f>
        <v/>
      </c>
      <c r="E16" s="8">
        <f>SUM(E4:E15)</f>
        <v/>
      </c>
      <c r="F16" s="8">
        <f>SUM(F4:F15)</f>
        <v/>
      </c>
      <c r="G16" s="8">
        <f>SUM(G4:G15)</f>
        <v/>
      </c>
      <c r="H16" s="8">
        <f>H15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6" customHeight="1">
      <c r="A1" s="11" t="inlineStr">
        <is>
          <t>P&amp;L 12 МЕСЯЦЕВ — РЕАЛИСТИЧНЫЙ</t>
        </is>
      </c>
    </row>
    <row r="3">
      <c r="A3" s="2" t="inlineStr">
        <is>
          <t>Месяц</t>
        </is>
      </c>
      <c r="B3" s="2" t="inlineStr">
        <is>
          <t>Кг/мес</t>
        </is>
      </c>
      <c r="C3" s="2" t="inlineStr">
        <is>
          <t>Ср.цена €/кг</t>
        </is>
      </c>
      <c r="D3" s="2" t="inlineStr">
        <is>
          <t>Выручка €</t>
        </is>
      </c>
      <c r="E3" s="2" t="inlineStr">
        <is>
          <t>Variable cost €</t>
        </is>
      </c>
      <c r="F3" s="2" t="inlineStr">
        <is>
          <t>OPEX €</t>
        </is>
      </c>
      <c r="G3" s="2" t="inlineStr">
        <is>
          <t>EBITDA €</t>
        </is>
      </c>
      <c r="H3" s="2" t="inlineStr">
        <is>
          <t>Накоп. EBITDA €</t>
        </is>
      </c>
    </row>
    <row r="4">
      <c r="A4" s="5">
        <f>"M"&amp;1</f>
        <v/>
      </c>
      <c r="B4" s="26">
        <f>'04_Production Ramp'!C5</f>
        <v/>
      </c>
      <c r="C4" s="6">
        <f>'03_Sales Mix'!D12</f>
        <v/>
      </c>
      <c r="D4" s="7">
        <f>B4*C4</f>
        <v/>
      </c>
      <c r="E4" s="7">
        <f>B4*'02_Unit Economics'!$D$12</f>
        <v/>
      </c>
      <c r="F4" s="7">
        <f>'05_OPEX Monthly'!C19</f>
        <v/>
      </c>
      <c r="G4" s="25">
        <f>D4-E4-F4</f>
        <v/>
      </c>
      <c r="H4" s="25">
        <f>G4</f>
        <v/>
      </c>
    </row>
    <row r="5">
      <c r="A5" s="5">
        <f>"M"&amp;2</f>
        <v/>
      </c>
      <c r="B5" s="26">
        <f>'04_Production Ramp'!C6</f>
        <v/>
      </c>
      <c r="C5" s="6">
        <f>'03_Sales Mix'!D12</f>
        <v/>
      </c>
      <c r="D5" s="7">
        <f>B5*C5</f>
        <v/>
      </c>
      <c r="E5" s="7">
        <f>B5*'02_Unit Economics'!$D$12</f>
        <v/>
      </c>
      <c r="F5" s="7">
        <f>'05_OPEX Monthly'!C19</f>
        <v/>
      </c>
      <c r="G5" s="25">
        <f>D5-E5-F5</f>
        <v/>
      </c>
      <c r="H5" s="25">
        <f>H4+G5</f>
        <v/>
      </c>
    </row>
    <row r="6">
      <c r="A6" s="5">
        <f>"M"&amp;3</f>
        <v/>
      </c>
      <c r="B6" s="26">
        <f>'04_Production Ramp'!C7</f>
        <v/>
      </c>
      <c r="C6" s="6">
        <f>'03_Sales Mix'!D12</f>
        <v/>
      </c>
      <c r="D6" s="7">
        <f>B6*C6</f>
        <v/>
      </c>
      <c r="E6" s="7">
        <f>B6*'02_Unit Economics'!$D$12</f>
        <v/>
      </c>
      <c r="F6" s="7">
        <f>'05_OPEX Monthly'!C19</f>
        <v/>
      </c>
      <c r="G6" s="25">
        <f>D6-E6-F6</f>
        <v/>
      </c>
      <c r="H6" s="25">
        <f>H5+G6</f>
        <v/>
      </c>
    </row>
    <row r="7">
      <c r="A7" s="5">
        <f>"M"&amp;4</f>
        <v/>
      </c>
      <c r="B7" s="26">
        <f>'04_Production Ramp'!C8</f>
        <v/>
      </c>
      <c r="C7" s="6">
        <f>'03_Sales Mix'!D12</f>
        <v/>
      </c>
      <c r="D7" s="7">
        <f>B7*C7</f>
        <v/>
      </c>
      <c r="E7" s="7">
        <f>B7*'02_Unit Economics'!$D$12</f>
        <v/>
      </c>
      <c r="F7" s="7">
        <f>'05_OPEX Monthly'!C19</f>
        <v/>
      </c>
      <c r="G7" s="25">
        <f>D7-E7-F7</f>
        <v/>
      </c>
      <c r="H7" s="25">
        <f>H6+G7</f>
        <v/>
      </c>
    </row>
    <row r="8">
      <c r="A8" s="5">
        <f>"M"&amp;5</f>
        <v/>
      </c>
      <c r="B8" s="26">
        <f>'04_Production Ramp'!C9</f>
        <v/>
      </c>
      <c r="C8" s="6">
        <f>'03_Sales Mix'!D12</f>
        <v/>
      </c>
      <c r="D8" s="7">
        <f>B8*C8</f>
        <v/>
      </c>
      <c r="E8" s="7">
        <f>B8*'02_Unit Economics'!$D$12</f>
        <v/>
      </c>
      <c r="F8" s="7">
        <f>'05_OPEX Monthly'!C19</f>
        <v/>
      </c>
      <c r="G8" s="25">
        <f>D8-E8-F8</f>
        <v/>
      </c>
      <c r="H8" s="25">
        <f>H7+G8</f>
        <v/>
      </c>
    </row>
    <row r="9">
      <c r="A9" s="5">
        <f>"M"&amp;6</f>
        <v/>
      </c>
      <c r="B9" s="26">
        <f>'04_Production Ramp'!C10</f>
        <v/>
      </c>
      <c r="C9" s="6">
        <f>'03_Sales Mix'!D12</f>
        <v/>
      </c>
      <c r="D9" s="7">
        <f>B9*C9</f>
        <v/>
      </c>
      <c r="E9" s="7">
        <f>B9*'02_Unit Economics'!$D$12</f>
        <v/>
      </c>
      <c r="F9" s="7">
        <f>'05_OPEX Monthly'!C19</f>
        <v/>
      </c>
      <c r="G9" s="25">
        <f>D9-E9-F9</f>
        <v/>
      </c>
      <c r="H9" s="25">
        <f>H8+G9</f>
        <v/>
      </c>
    </row>
    <row r="10">
      <c r="A10" s="5">
        <f>"M"&amp;7</f>
        <v/>
      </c>
      <c r="B10" s="26">
        <f>'04_Production Ramp'!C11</f>
        <v/>
      </c>
      <c r="C10" s="6">
        <f>'03_Sales Mix'!D12</f>
        <v/>
      </c>
      <c r="D10" s="7">
        <f>B10*C10</f>
        <v/>
      </c>
      <c r="E10" s="7">
        <f>B10*'02_Unit Economics'!$D$12</f>
        <v/>
      </c>
      <c r="F10" s="7">
        <f>'05_OPEX Monthly'!C19</f>
        <v/>
      </c>
      <c r="G10" s="25">
        <f>D10-E10-F10</f>
        <v/>
      </c>
      <c r="H10" s="25">
        <f>H9+G10</f>
        <v/>
      </c>
    </row>
    <row r="11">
      <c r="A11" s="5">
        <f>"M"&amp;8</f>
        <v/>
      </c>
      <c r="B11" s="26">
        <f>'04_Production Ramp'!C12</f>
        <v/>
      </c>
      <c r="C11" s="6">
        <f>'03_Sales Mix'!D12</f>
        <v/>
      </c>
      <c r="D11" s="7">
        <f>B11*C11</f>
        <v/>
      </c>
      <c r="E11" s="7">
        <f>B11*'02_Unit Economics'!$D$12</f>
        <v/>
      </c>
      <c r="F11" s="7">
        <f>'05_OPEX Monthly'!C19</f>
        <v/>
      </c>
      <c r="G11" s="25">
        <f>D11-E11-F11</f>
        <v/>
      </c>
      <c r="H11" s="25">
        <f>H10+G11</f>
        <v/>
      </c>
    </row>
    <row r="12">
      <c r="A12" s="5">
        <f>"M"&amp;9</f>
        <v/>
      </c>
      <c r="B12" s="26">
        <f>'04_Production Ramp'!C13</f>
        <v/>
      </c>
      <c r="C12" s="6">
        <f>'03_Sales Mix'!D12</f>
        <v/>
      </c>
      <c r="D12" s="7">
        <f>B12*C12</f>
        <v/>
      </c>
      <c r="E12" s="7">
        <f>B12*'02_Unit Economics'!$D$12</f>
        <v/>
      </c>
      <c r="F12" s="7">
        <f>'05_OPEX Monthly'!C19</f>
        <v/>
      </c>
      <c r="G12" s="25">
        <f>D12-E12-F12</f>
        <v/>
      </c>
      <c r="H12" s="25">
        <f>H11+G12</f>
        <v/>
      </c>
    </row>
    <row r="13">
      <c r="A13" s="5">
        <f>"M"&amp;10</f>
        <v/>
      </c>
      <c r="B13" s="26">
        <f>'04_Production Ramp'!C14</f>
        <v/>
      </c>
      <c r="C13" s="6">
        <f>'03_Sales Mix'!D12</f>
        <v/>
      </c>
      <c r="D13" s="7">
        <f>B13*C13</f>
        <v/>
      </c>
      <c r="E13" s="7">
        <f>B13*'02_Unit Economics'!$D$12</f>
        <v/>
      </c>
      <c r="F13" s="7">
        <f>'05_OPEX Monthly'!C19</f>
        <v/>
      </c>
      <c r="G13" s="25">
        <f>D13-E13-F13</f>
        <v/>
      </c>
      <c r="H13" s="25">
        <f>H12+G13</f>
        <v/>
      </c>
    </row>
    <row r="14">
      <c r="A14" s="5">
        <f>"M"&amp;11</f>
        <v/>
      </c>
      <c r="B14" s="26">
        <f>'04_Production Ramp'!C15</f>
        <v/>
      </c>
      <c r="C14" s="6">
        <f>'03_Sales Mix'!D12</f>
        <v/>
      </c>
      <c r="D14" s="7">
        <f>B14*C14</f>
        <v/>
      </c>
      <c r="E14" s="7">
        <f>B14*'02_Unit Economics'!$D$12</f>
        <v/>
      </c>
      <c r="F14" s="7">
        <f>'05_OPEX Monthly'!C19</f>
        <v/>
      </c>
      <c r="G14" s="25">
        <f>D14-E14-F14</f>
        <v/>
      </c>
      <c r="H14" s="25">
        <f>H13+G14</f>
        <v/>
      </c>
    </row>
    <row r="15">
      <c r="A15" s="5">
        <f>"M"&amp;12</f>
        <v/>
      </c>
      <c r="B15" s="26">
        <f>'04_Production Ramp'!C16</f>
        <v/>
      </c>
      <c r="C15" s="6">
        <f>'03_Sales Mix'!D12</f>
        <v/>
      </c>
      <c r="D15" s="7">
        <f>B15*C15</f>
        <v/>
      </c>
      <c r="E15" s="7">
        <f>B15*'02_Unit Economics'!$D$12</f>
        <v/>
      </c>
      <c r="F15" s="7">
        <f>'05_OPEX Monthly'!C19</f>
        <v/>
      </c>
      <c r="G15" s="25">
        <f>D15-E15-F15</f>
        <v/>
      </c>
      <c r="H15" s="25">
        <f>H14+G15</f>
        <v/>
      </c>
    </row>
    <row r="16">
      <c r="A16" s="17" t="inlineStr">
        <is>
          <t>Год 1 ИТОГО</t>
        </is>
      </c>
      <c r="B16" s="23">
        <f>SUM(B4:B15)</f>
        <v/>
      </c>
      <c r="C16" s="17" t="inlineStr"/>
      <c r="D16" s="8">
        <f>SUM(D4:D15)</f>
        <v/>
      </c>
      <c r="E16" s="8">
        <f>SUM(E4:E15)</f>
        <v/>
      </c>
      <c r="F16" s="8">
        <f>SUM(F4:F15)</f>
        <v/>
      </c>
      <c r="G16" s="8">
        <f>SUM(G4:G15)</f>
        <v/>
      </c>
      <c r="H16" s="8">
        <f>H15</f>
        <v/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6" customHeight="1">
      <c r="A1" s="11" t="inlineStr">
        <is>
          <t>P&amp;L 12 МЕСЯЦЕВ — СУПЕР-ОПТИМИСТИЧЕСКИЙ</t>
        </is>
      </c>
    </row>
    <row r="3">
      <c r="A3" s="2" t="inlineStr">
        <is>
          <t>Месяц</t>
        </is>
      </c>
      <c r="B3" s="2" t="inlineStr">
        <is>
          <t>Кг/мес</t>
        </is>
      </c>
      <c r="C3" s="2" t="inlineStr">
        <is>
          <t>Ср.цена €/кг</t>
        </is>
      </c>
      <c r="D3" s="2" t="inlineStr">
        <is>
          <t>Выручка €</t>
        </is>
      </c>
      <c r="E3" s="2" t="inlineStr">
        <is>
          <t>Variable cost €</t>
        </is>
      </c>
      <c r="F3" s="2" t="inlineStr">
        <is>
          <t>OPEX €</t>
        </is>
      </c>
      <c r="G3" s="2" t="inlineStr">
        <is>
          <t>EBITDA €</t>
        </is>
      </c>
      <c r="H3" s="2" t="inlineStr">
        <is>
          <t>Накоп. EBITDA €</t>
        </is>
      </c>
    </row>
    <row r="4">
      <c r="A4" s="5">
        <f>"M"&amp;1</f>
        <v/>
      </c>
      <c r="B4" s="26">
        <f>'04_Production Ramp'!D5</f>
        <v/>
      </c>
      <c r="C4" s="6">
        <f>'03_Sales Mix'!E12</f>
        <v/>
      </c>
      <c r="D4" s="7">
        <f>B4*C4</f>
        <v/>
      </c>
      <c r="E4" s="7">
        <f>B4*'02_Unit Economics'!$D$12</f>
        <v/>
      </c>
      <c r="F4" s="7">
        <f>'05_OPEX Monthly'!D19</f>
        <v/>
      </c>
      <c r="G4" s="25">
        <f>D4-E4-F4</f>
        <v/>
      </c>
      <c r="H4" s="25">
        <f>G4</f>
        <v/>
      </c>
    </row>
    <row r="5">
      <c r="A5" s="5">
        <f>"M"&amp;2</f>
        <v/>
      </c>
      <c r="B5" s="26">
        <f>'04_Production Ramp'!D6</f>
        <v/>
      </c>
      <c r="C5" s="6">
        <f>'03_Sales Mix'!E12</f>
        <v/>
      </c>
      <c r="D5" s="7">
        <f>B5*C5</f>
        <v/>
      </c>
      <c r="E5" s="7">
        <f>B5*'02_Unit Economics'!$D$12</f>
        <v/>
      </c>
      <c r="F5" s="7">
        <f>'05_OPEX Monthly'!D19</f>
        <v/>
      </c>
      <c r="G5" s="25">
        <f>D5-E5-F5</f>
        <v/>
      </c>
      <c r="H5" s="25">
        <f>H4+G5</f>
        <v/>
      </c>
    </row>
    <row r="6">
      <c r="A6" s="5">
        <f>"M"&amp;3</f>
        <v/>
      </c>
      <c r="B6" s="26">
        <f>'04_Production Ramp'!D7</f>
        <v/>
      </c>
      <c r="C6" s="6">
        <f>'03_Sales Mix'!E12</f>
        <v/>
      </c>
      <c r="D6" s="7">
        <f>B6*C6</f>
        <v/>
      </c>
      <c r="E6" s="7">
        <f>B6*'02_Unit Economics'!$D$12</f>
        <v/>
      </c>
      <c r="F6" s="7">
        <f>'05_OPEX Monthly'!D19</f>
        <v/>
      </c>
      <c r="G6" s="25">
        <f>D6-E6-F6</f>
        <v/>
      </c>
      <c r="H6" s="25">
        <f>H5+G6</f>
        <v/>
      </c>
    </row>
    <row r="7">
      <c r="A7" s="5">
        <f>"M"&amp;4</f>
        <v/>
      </c>
      <c r="B7" s="26">
        <f>'04_Production Ramp'!D8</f>
        <v/>
      </c>
      <c r="C7" s="6">
        <f>'03_Sales Mix'!E12</f>
        <v/>
      </c>
      <c r="D7" s="7">
        <f>B7*C7</f>
        <v/>
      </c>
      <c r="E7" s="7">
        <f>B7*'02_Unit Economics'!$D$12</f>
        <v/>
      </c>
      <c r="F7" s="7">
        <f>'05_OPEX Monthly'!D19</f>
        <v/>
      </c>
      <c r="G7" s="25">
        <f>D7-E7-F7</f>
        <v/>
      </c>
      <c r="H7" s="25">
        <f>H6+G7</f>
        <v/>
      </c>
    </row>
    <row r="8">
      <c r="A8" s="5">
        <f>"M"&amp;5</f>
        <v/>
      </c>
      <c r="B8" s="26">
        <f>'04_Production Ramp'!D9</f>
        <v/>
      </c>
      <c r="C8" s="6">
        <f>'03_Sales Mix'!E12</f>
        <v/>
      </c>
      <c r="D8" s="7">
        <f>B8*C8</f>
        <v/>
      </c>
      <c r="E8" s="7">
        <f>B8*'02_Unit Economics'!$D$12</f>
        <v/>
      </c>
      <c r="F8" s="7">
        <f>'05_OPEX Monthly'!D19</f>
        <v/>
      </c>
      <c r="G8" s="25">
        <f>D8-E8-F8</f>
        <v/>
      </c>
      <c r="H8" s="25">
        <f>H7+G8</f>
        <v/>
      </c>
    </row>
    <row r="9">
      <c r="A9" s="5">
        <f>"M"&amp;6</f>
        <v/>
      </c>
      <c r="B9" s="26">
        <f>'04_Production Ramp'!D10</f>
        <v/>
      </c>
      <c r="C9" s="6">
        <f>'03_Sales Mix'!E12</f>
        <v/>
      </c>
      <c r="D9" s="7">
        <f>B9*C9</f>
        <v/>
      </c>
      <c r="E9" s="7">
        <f>B9*'02_Unit Economics'!$D$12</f>
        <v/>
      </c>
      <c r="F9" s="7">
        <f>'05_OPEX Monthly'!D19</f>
        <v/>
      </c>
      <c r="G9" s="25">
        <f>D9-E9-F9</f>
        <v/>
      </c>
      <c r="H9" s="25">
        <f>H8+G9</f>
        <v/>
      </c>
    </row>
    <row r="10">
      <c r="A10" s="5">
        <f>"M"&amp;7</f>
        <v/>
      </c>
      <c r="B10" s="26">
        <f>'04_Production Ramp'!D11</f>
        <v/>
      </c>
      <c r="C10" s="6">
        <f>'03_Sales Mix'!E12</f>
        <v/>
      </c>
      <c r="D10" s="7">
        <f>B10*C10</f>
        <v/>
      </c>
      <c r="E10" s="7">
        <f>B10*'02_Unit Economics'!$D$12</f>
        <v/>
      </c>
      <c r="F10" s="7">
        <f>'05_OPEX Monthly'!D19</f>
        <v/>
      </c>
      <c r="G10" s="25">
        <f>D10-E10-F10</f>
        <v/>
      </c>
      <c r="H10" s="25">
        <f>H9+G10</f>
        <v/>
      </c>
    </row>
    <row r="11">
      <c r="A11" s="5">
        <f>"M"&amp;8</f>
        <v/>
      </c>
      <c r="B11" s="26">
        <f>'04_Production Ramp'!D12</f>
        <v/>
      </c>
      <c r="C11" s="6">
        <f>'03_Sales Mix'!E12</f>
        <v/>
      </c>
      <c r="D11" s="7">
        <f>B11*C11</f>
        <v/>
      </c>
      <c r="E11" s="7">
        <f>B11*'02_Unit Economics'!$D$12</f>
        <v/>
      </c>
      <c r="F11" s="7">
        <f>'05_OPEX Monthly'!D19</f>
        <v/>
      </c>
      <c r="G11" s="25">
        <f>D11-E11-F11</f>
        <v/>
      </c>
      <c r="H11" s="25">
        <f>H10+G11</f>
        <v/>
      </c>
    </row>
    <row r="12">
      <c r="A12" s="5">
        <f>"M"&amp;9</f>
        <v/>
      </c>
      <c r="B12" s="26">
        <f>'04_Production Ramp'!D13</f>
        <v/>
      </c>
      <c r="C12" s="6">
        <f>'03_Sales Mix'!E12</f>
        <v/>
      </c>
      <c r="D12" s="7">
        <f>B12*C12</f>
        <v/>
      </c>
      <c r="E12" s="7">
        <f>B12*'02_Unit Economics'!$D$12</f>
        <v/>
      </c>
      <c r="F12" s="7">
        <f>'05_OPEX Monthly'!D19</f>
        <v/>
      </c>
      <c r="G12" s="25">
        <f>D12-E12-F12</f>
        <v/>
      </c>
      <c r="H12" s="25">
        <f>H11+G12</f>
        <v/>
      </c>
    </row>
    <row r="13">
      <c r="A13" s="5">
        <f>"M"&amp;10</f>
        <v/>
      </c>
      <c r="B13" s="26">
        <f>'04_Production Ramp'!D14</f>
        <v/>
      </c>
      <c r="C13" s="6">
        <f>'03_Sales Mix'!E12</f>
        <v/>
      </c>
      <c r="D13" s="7">
        <f>B13*C13</f>
        <v/>
      </c>
      <c r="E13" s="7">
        <f>B13*'02_Unit Economics'!$D$12</f>
        <v/>
      </c>
      <c r="F13" s="7">
        <f>'05_OPEX Monthly'!D19</f>
        <v/>
      </c>
      <c r="G13" s="25">
        <f>D13-E13-F13</f>
        <v/>
      </c>
      <c r="H13" s="25">
        <f>H12+G13</f>
        <v/>
      </c>
    </row>
    <row r="14">
      <c r="A14" s="5">
        <f>"M"&amp;11</f>
        <v/>
      </c>
      <c r="B14" s="26">
        <f>'04_Production Ramp'!D15</f>
        <v/>
      </c>
      <c r="C14" s="6">
        <f>'03_Sales Mix'!E12</f>
        <v/>
      </c>
      <c r="D14" s="7">
        <f>B14*C14</f>
        <v/>
      </c>
      <c r="E14" s="7">
        <f>B14*'02_Unit Economics'!$D$12</f>
        <v/>
      </c>
      <c r="F14" s="7">
        <f>'05_OPEX Monthly'!D19</f>
        <v/>
      </c>
      <c r="G14" s="25">
        <f>D14-E14-F14</f>
        <v/>
      </c>
      <c r="H14" s="25">
        <f>H13+G14</f>
        <v/>
      </c>
    </row>
    <row r="15">
      <c r="A15" s="5">
        <f>"M"&amp;12</f>
        <v/>
      </c>
      <c r="B15" s="26">
        <f>'04_Production Ramp'!D16</f>
        <v/>
      </c>
      <c r="C15" s="6">
        <f>'03_Sales Mix'!E12</f>
        <v/>
      </c>
      <c r="D15" s="7">
        <f>B15*C15</f>
        <v/>
      </c>
      <c r="E15" s="7">
        <f>B15*'02_Unit Economics'!$D$12</f>
        <v/>
      </c>
      <c r="F15" s="7">
        <f>'05_OPEX Monthly'!D19</f>
        <v/>
      </c>
      <c r="G15" s="25">
        <f>D15-E15-F15</f>
        <v/>
      </c>
      <c r="H15" s="25">
        <f>H14+G15</f>
        <v/>
      </c>
    </row>
    <row r="16">
      <c r="A16" s="17" t="inlineStr">
        <is>
          <t>Год 1 ИТОГО</t>
        </is>
      </c>
      <c r="B16" s="23">
        <f>SUM(B4:B15)</f>
        <v/>
      </c>
      <c r="C16" s="17" t="inlineStr"/>
      <c r="D16" s="8">
        <f>SUM(D4:D15)</f>
        <v/>
      </c>
      <c r="E16" s="8">
        <f>SUM(E4:E15)</f>
        <v/>
      </c>
      <c r="F16" s="8">
        <f>SUM(F4:F15)</f>
        <v/>
      </c>
      <c r="G16" s="8">
        <f>SUM(G4:G15)</f>
        <v/>
      </c>
      <c r="H16" s="8">
        <f>H15</f>
        <v/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1" t="inlineStr">
        <is>
          <t>BREAK-EVEN ANALYSIS — точка безубыточности по 3 сценариям</t>
        </is>
      </c>
    </row>
    <row r="3">
      <c r="A3" s="2" t="inlineStr">
        <is>
          <t>Параметр</t>
        </is>
      </c>
      <c r="B3" s="2" t="inlineStr">
        <is>
          <t>Пессимизм</t>
        </is>
      </c>
      <c r="C3" s="2" t="inlineStr">
        <is>
          <t>Реализм</t>
        </is>
      </c>
      <c r="D3" s="2" t="inlineStr">
        <is>
          <t>Супер-опт</t>
        </is>
      </c>
    </row>
    <row r="4">
      <c r="A4" s="3" t="inlineStr">
        <is>
          <t>Variable cost €/кг</t>
        </is>
      </c>
      <c r="B4" s="6">
        <f>'02_Unit Economics'!$D$12</f>
        <v/>
      </c>
      <c r="C4" s="6">
        <f>'02_Unit Economics'!$D$12</f>
        <v/>
      </c>
      <c r="D4" s="6">
        <f>'02_Unit Economics'!$D$12</f>
        <v/>
      </c>
    </row>
    <row r="5">
      <c r="A5" s="3" t="inlineStr">
        <is>
          <t>Средневзвешенная цена €/кг</t>
        </is>
      </c>
      <c r="B5" s="6">
        <f>'03_Sales Mix'!C12</f>
        <v/>
      </c>
      <c r="C5" s="6">
        <f>'03_Sales Mix'!D12</f>
        <v/>
      </c>
      <c r="D5" s="6">
        <f>'03_Sales Mix'!E12</f>
        <v/>
      </c>
    </row>
    <row r="6">
      <c r="A6" s="3" t="inlineStr">
        <is>
          <t>Маржа €/кг (price - VC)</t>
        </is>
      </c>
      <c r="B6" s="6">
        <f>B5-B4</f>
        <v/>
      </c>
      <c r="C6" s="6">
        <f>C5-C4</f>
        <v/>
      </c>
      <c r="D6" s="6">
        <f>D5-D4</f>
        <v/>
      </c>
    </row>
    <row r="7">
      <c r="A7" s="3" t="inlineStr">
        <is>
          <t>OPEX €/мес</t>
        </is>
      </c>
      <c r="B7" s="7">
        <f>'05_OPEX Monthly'!B19</f>
        <v/>
      </c>
      <c r="C7" s="7">
        <f>'05_OPEX Monthly'!C19</f>
        <v/>
      </c>
      <c r="D7" s="7">
        <f>'05_OPEX Monthly'!D19</f>
        <v/>
      </c>
    </row>
    <row r="8">
      <c r="A8" s="3" t="inlineStr">
        <is>
          <t>Break-even кг/мес</t>
        </is>
      </c>
      <c r="B8" s="26">
        <f>B7/B6</f>
        <v/>
      </c>
      <c r="C8" s="26">
        <f>C7/C6</f>
        <v/>
      </c>
      <c r="D8" s="26">
        <f>D7/D6</f>
        <v/>
      </c>
    </row>
    <row r="9">
      <c r="A9" s="3" t="inlineStr">
        <is>
          <t>Break-even кг/день (26 раб.д)</t>
        </is>
      </c>
      <c r="B9" s="27">
        <f>B8/26</f>
        <v/>
      </c>
      <c r="C9" s="27">
        <f>C8/26</f>
        <v/>
      </c>
      <c r="D9" s="27">
        <f>D8/26</f>
        <v/>
      </c>
    </row>
    <row r="10">
      <c r="A10" s="3" t="inlineStr">
        <is>
          <t>Break-even выручка €/мес</t>
        </is>
      </c>
      <c r="B10" s="7">
        <f>B8*B5</f>
        <v/>
      </c>
      <c r="C10" s="7">
        <f>C8*C5</f>
        <v/>
      </c>
      <c r="D10" s="7">
        <f>D8*D5</f>
        <v/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26" customHeight="1">
      <c r="A1" s="11" t="inlineStr">
        <is>
          <t>CASH FLOW — 12 МЕСЯЦЕВ (3 сценария)</t>
        </is>
      </c>
    </row>
    <row r="3">
      <c r="A3" s="2" t="inlineStr">
        <is>
          <t>Месяц</t>
        </is>
      </c>
      <c r="B3" s="2" t="inlineStr">
        <is>
          <t>EBITDA ПЕССИМ</t>
        </is>
      </c>
      <c r="C3" s="2" t="inlineStr">
        <is>
          <t>Кум.ПЕССИМ</t>
        </is>
      </c>
      <c r="D3" s="2" t="inlineStr">
        <is>
          <t>EBITDA РЕАЛИЗМ</t>
        </is>
      </c>
      <c r="E3" s="2" t="inlineStr">
        <is>
          <t>Кум.РЕАЛИЗМ</t>
        </is>
      </c>
      <c r="F3" s="2" t="inlineStr">
        <is>
          <t>EBITDA СУПЕР</t>
        </is>
      </c>
      <c r="G3" s="2" t="inlineStr">
        <is>
          <t>Кум.СУПЕР</t>
        </is>
      </c>
      <c r="H3" s="2" t="inlineStr"/>
    </row>
    <row r="4">
      <c r="A4" s="28" t="inlineStr">
        <is>
          <t>M0 (старт после CAPEX)</t>
        </is>
      </c>
      <c r="B4" s="28" t="inlineStr"/>
      <c r="C4" s="29">
        <f>-'06_CAPEX'!B15</f>
        <v/>
      </c>
      <c r="D4" s="28" t="inlineStr"/>
      <c r="E4" s="29">
        <f>-'06_CAPEX'!B15</f>
        <v/>
      </c>
      <c r="F4" s="28" t="inlineStr"/>
      <c r="G4" s="29">
        <f>-'06_CAPEX'!B15</f>
        <v/>
      </c>
      <c r="H4" s="28" t="inlineStr"/>
    </row>
    <row r="5">
      <c r="A5" s="5">
        <f>"M"&amp;1</f>
        <v/>
      </c>
      <c r="B5" s="7">
        <f>'07_PL Пессимизм'!G4</f>
        <v/>
      </c>
      <c r="C5" s="7">
        <f>C4+B5</f>
        <v/>
      </c>
      <c r="D5" s="7">
        <f>'08_PL Реализм'!G4</f>
        <v/>
      </c>
      <c r="E5" s="7">
        <f>E4+D5</f>
        <v/>
      </c>
      <c r="F5" s="7">
        <f>'09_PL Суперопт'!G4</f>
        <v/>
      </c>
      <c r="G5" s="7">
        <f>G4+F5</f>
        <v/>
      </c>
      <c r="H5" s="5" t="inlineStr"/>
    </row>
    <row r="6">
      <c r="A6" s="5">
        <f>"M"&amp;2</f>
        <v/>
      </c>
      <c r="B6" s="7">
        <f>'07_PL Пессимизм'!G5</f>
        <v/>
      </c>
      <c r="C6" s="7">
        <f>C5+B6</f>
        <v/>
      </c>
      <c r="D6" s="7">
        <f>'08_PL Реализм'!G5</f>
        <v/>
      </c>
      <c r="E6" s="7">
        <f>E5+D6</f>
        <v/>
      </c>
      <c r="F6" s="7">
        <f>'09_PL Суперопт'!G5</f>
        <v/>
      </c>
      <c r="G6" s="7">
        <f>G5+F6</f>
        <v/>
      </c>
      <c r="H6" s="5" t="inlineStr"/>
    </row>
    <row r="7">
      <c r="A7" s="5">
        <f>"M"&amp;3</f>
        <v/>
      </c>
      <c r="B7" s="7">
        <f>'07_PL Пессимизм'!G6</f>
        <v/>
      </c>
      <c r="C7" s="7">
        <f>C6+B7</f>
        <v/>
      </c>
      <c r="D7" s="7">
        <f>'08_PL Реализм'!G6</f>
        <v/>
      </c>
      <c r="E7" s="7">
        <f>E6+D7</f>
        <v/>
      </c>
      <c r="F7" s="7">
        <f>'09_PL Суперопт'!G6</f>
        <v/>
      </c>
      <c r="G7" s="7">
        <f>G6+F7</f>
        <v/>
      </c>
      <c r="H7" s="5" t="inlineStr"/>
    </row>
    <row r="8">
      <c r="A8" s="5">
        <f>"M"&amp;4</f>
        <v/>
      </c>
      <c r="B8" s="7">
        <f>'07_PL Пессимизм'!G7</f>
        <v/>
      </c>
      <c r="C8" s="7">
        <f>C7+B8</f>
        <v/>
      </c>
      <c r="D8" s="7">
        <f>'08_PL Реализм'!G7</f>
        <v/>
      </c>
      <c r="E8" s="7">
        <f>E7+D8</f>
        <v/>
      </c>
      <c r="F8" s="7">
        <f>'09_PL Суперопт'!G7</f>
        <v/>
      </c>
      <c r="G8" s="7">
        <f>G7+F8</f>
        <v/>
      </c>
      <c r="H8" s="5" t="inlineStr"/>
    </row>
    <row r="9">
      <c r="A9" s="5">
        <f>"M"&amp;5</f>
        <v/>
      </c>
      <c r="B9" s="7">
        <f>'07_PL Пессимизм'!G8</f>
        <v/>
      </c>
      <c r="C9" s="7">
        <f>C8+B9</f>
        <v/>
      </c>
      <c r="D9" s="7">
        <f>'08_PL Реализм'!G8</f>
        <v/>
      </c>
      <c r="E9" s="7">
        <f>E8+D9</f>
        <v/>
      </c>
      <c r="F9" s="7">
        <f>'09_PL Суперопт'!G8</f>
        <v/>
      </c>
      <c r="G9" s="7">
        <f>G8+F9</f>
        <v/>
      </c>
      <c r="H9" s="5" t="inlineStr"/>
    </row>
    <row r="10">
      <c r="A10" s="5">
        <f>"M"&amp;6</f>
        <v/>
      </c>
      <c r="B10" s="7">
        <f>'07_PL Пессимизм'!G9</f>
        <v/>
      </c>
      <c r="C10" s="7">
        <f>C9+B10</f>
        <v/>
      </c>
      <c r="D10" s="7">
        <f>'08_PL Реализм'!G9</f>
        <v/>
      </c>
      <c r="E10" s="7">
        <f>E9+D10</f>
        <v/>
      </c>
      <c r="F10" s="7">
        <f>'09_PL Суперопт'!G9</f>
        <v/>
      </c>
      <c r="G10" s="7">
        <f>G9+F10</f>
        <v/>
      </c>
      <c r="H10" s="5" t="inlineStr"/>
    </row>
    <row r="11">
      <c r="A11" s="5">
        <f>"M"&amp;7</f>
        <v/>
      </c>
      <c r="B11" s="7">
        <f>'07_PL Пессимизм'!G10</f>
        <v/>
      </c>
      <c r="C11" s="7">
        <f>C10+B11</f>
        <v/>
      </c>
      <c r="D11" s="7">
        <f>'08_PL Реализм'!G10</f>
        <v/>
      </c>
      <c r="E11" s="7">
        <f>E10+D11</f>
        <v/>
      </c>
      <c r="F11" s="7">
        <f>'09_PL Суперопт'!G10</f>
        <v/>
      </c>
      <c r="G11" s="7">
        <f>G10+F11</f>
        <v/>
      </c>
      <c r="H11" s="5" t="inlineStr"/>
    </row>
    <row r="12">
      <c r="A12" s="5">
        <f>"M"&amp;8</f>
        <v/>
      </c>
      <c r="B12" s="7">
        <f>'07_PL Пессимизм'!G11</f>
        <v/>
      </c>
      <c r="C12" s="7">
        <f>C11+B12</f>
        <v/>
      </c>
      <c r="D12" s="7">
        <f>'08_PL Реализм'!G11</f>
        <v/>
      </c>
      <c r="E12" s="7">
        <f>E11+D12</f>
        <v/>
      </c>
      <c r="F12" s="7">
        <f>'09_PL Суперопт'!G11</f>
        <v/>
      </c>
      <c r="G12" s="7">
        <f>G11+F12</f>
        <v/>
      </c>
      <c r="H12" s="5" t="inlineStr"/>
    </row>
    <row r="13">
      <c r="A13" s="5">
        <f>"M"&amp;9</f>
        <v/>
      </c>
      <c r="B13" s="7">
        <f>'07_PL Пессимизм'!G12</f>
        <v/>
      </c>
      <c r="C13" s="7">
        <f>C12+B13</f>
        <v/>
      </c>
      <c r="D13" s="7">
        <f>'08_PL Реализм'!G12</f>
        <v/>
      </c>
      <c r="E13" s="7">
        <f>E12+D13</f>
        <v/>
      </c>
      <c r="F13" s="7">
        <f>'09_PL Суперопт'!G12</f>
        <v/>
      </c>
      <c r="G13" s="7">
        <f>G12+F13</f>
        <v/>
      </c>
      <c r="H13" s="5" t="inlineStr"/>
    </row>
    <row r="14">
      <c r="A14" s="5">
        <f>"M"&amp;10</f>
        <v/>
      </c>
      <c r="B14" s="7">
        <f>'07_PL Пессимизм'!G13</f>
        <v/>
      </c>
      <c r="C14" s="7">
        <f>C13+B14</f>
        <v/>
      </c>
      <c r="D14" s="7">
        <f>'08_PL Реализм'!G13</f>
        <v/>
      </c>
      <c r="E14" s="7">
        <f>E13+D14</f>
        <v/>
      </c>
      <c r="F14" s="7">
        <f>'09_PL Суперопт'!G13</f>
        <v/>
      </c>
      <c r="G14" s="7">
        <f>G13+F14</f>
        <v/>
      </c>
      <c r="H14" s="5" t="inlineStr"/>
    </row>
    <row r="15">
      <c r="A15" s="5">
        <f>"M"&amp;11</f>
        <v/>
      </c>
      <c r="B15" s="7">
        <f>'07_PL Пессимизм'!G14</f>
        <v/>
      </c>
      <c r="C15" s="7">
        <f>C14+B15</f>
        <v/>
      </c>
      <c r="D15" s="7">
        <f>'08_PL Реализм'!G14</f>
        <v/>
      </c>
      <c r="E15" s="7">
        <f>E14+D15</f>
        <v/>
      </c>
      <c r="F15" s="7">
        <f>'09_PL Суперопт'!G14</f>
        <v/>
      </c>
      <c r="G15" s="7">
        <f>G14+F15</f>
        <v/>
      </c>
      <c r="H15" s="5" t="inlineStr"/>
    </row>
    <row r="16">
      <c r="A16" s="5">
        <f>"M"&amp;12</f>
        <v/>
      </c>
      <c r="B16" s="7">
        <f>'07_PL Пессимизм'!G15</f>
        <v/>
      </c>
      <c r="C16" s="7">
        <f>C15+B16</f>
        <v/>
      </c>
      <c r="D16" s="7">
        <f>'08_PL Реализм'!G15</f>
        <v/>
      </c>
      <c r="E16" s="7">
        <f>E15+D16</f>
        <v/>
      </c>
      <c r="F16" s="7">
        <f>'09_PL Суперопт'!G15</f>
        <v/>
      </c>
      <c r="G16" s="7">
        <f>G15+F16</f>
        <v/>
      </c>
      <c r="H16" s="5" t="inlineStr"/>
    </row>
  </sheetData>
  <mergeCells count="1">
    <mergeCell ref="A1:H1"/>
  </mergeCells>
  <conditionalFormatting sqref="C5:C16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E5:E16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G5:G16">
    <cfRule type="cellIs" priority="5" operator="lessThan" dxfId="0">
      <formula>0</formula>
    </cfRule>
    <cfRule type="cellIs" priority="6" operator="greaterThanOrEqual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40" customWidth="1" min="3" max="3"/>
  </cols>
  <sheetData>
    <row r="1" ht="26" customHeight="1">
      <c r="A1" s="11" t="inlineStr">
        <is>
          <t>SENSITIVITY — что если цены/объёмы изменятся</t>
        </is>
      </c>
    </row>
    <row r="3">
      <c r="A3" s="10" t="inlineStr">
        <is>
          <t>БАЗОВЫЙ СЦЕНАРИЙ = РЕАЛИЗМ (год 1)</t>
        </is>
      </c>
    </row>
    <row r="5">
      <c r="A5" s="2" t="inlineStr">
        <is>
          <t>Параметр</t>
        </is>
      </c>
      <c r="B5" s="2" t="inlineStr">
        <is>
          <t>Базовое значение</t>
        </is>
      </c>
      <c r="C5" s="2" t="inlineStr">
        <is>
          <t>Эффект на год 1 EBITDA</t>
        </is>
      </c>
      <c r="D5" s="2" t="n"/>
    </row>
    <row r="6">
      <c r="A6" t="inlineStr">
        <is>
          <t>Мука +20%</t>
        </is>
      </c>
      <c r="B6">
        <f>'01_Inputs'!C4*1.20</f>
        <v/>
      </c>
      <c r="C6" t="inlineStr">
        <is>
          <t>Снизит маржу на ~€0,11/кг</t>
        </is>
      </c>
    </row>
    <row r="7">
      <c r="A7" s="3" t="inlineStr">
        <is>
          <t>Мука −10%</t>
        </is>
      </c>
      <c r="B7" s="6">
        <f>'01_Inputs'!C4*0.90</f>
        <v/>
      </c>
      <c r="C7" s="5" t="inlineStr">
        <is>
          <t>Повысит маржу на ~€0,05/кг</t>
        </is>
      </c>
      <c r="D7" s="5" t="n"/>
    </row>
    <row r="8">
      <c r="A8" s="3" t="inlineStr">
        <is>
          <t>Цена ОПТ-канала +5%</t>
        </is>
      </c>
      <c r="B8" s="6">
        <f>' 02_Unit Economics'!B16*1.05</f>
        <v/>
      </c>
      <c r="C8" s="5" t="inlineStr">
        <is>
          <t>Повысит ср.цену в опт-mix</t>
        </is>
      </c>
      <c r="D8" s="5" t="n"/>
    </row>
    <row r="9">
      <c r="A9" s="3" t="inlineStr">
        <is>
          <t>Объём год 1 −20%</t>
        </is>
      </c>
      <c r="B9" s="6">
        <f>'04_Production Ramp'!C17*0.80</f>
        <v/>
      </c>
      <c r="C9" s="5" t="inlineStr">
        <is>
          <t>Линейно EBITDA вниз</t>
        </is>
      </c>
      <c r="D9" s="5" t="n"/>
    </row>
    <row r="10">
      <c r="A10" s="3" t="inlineStr">
        <is>
          <t>Объём год 1 +20%</t>
        </is>
      </c>
      <c r="B10" s="6">
        <f>'04_Production Ramp'!C17*1.20</f>
        <v/>
      </c>
      <c r="C10" s="5" t="inlineStr">
        <is>
          <t>Линейно EBITDA вверх</t>
        </is>
      </c>
      <c r="D10" s="5" t="n"/>
    </row>
    <row r="11">
      <c r="A11" s="3" t="inlineStr">
        <is>
          <t>Третий работник с M7</t>
        </is>
      </c>
      <c r="B11" s="6">
        <f>'01_Inputs'!C13*1.3215</f>
        <v/>
      </c>
      <c r="C11" s="5" t="inlineStr">
        <is>
          <t>+€1 614/мес OPEX начиная с M7</t>
        </is>
      </c>
      <c r="D11" s="5" t="n"/>
    </row>
    <row r="12">
      <c r="A12" s="3" t="inlineStr">
        <is>
          <t>Электричество +50%</t>
        </is>
      </c>
      <c r="B12" s="6">
        <f>'01_Inputs'!C8*1.50</f>
        <v/>
      </c>
      <c r="C12" s="5" t="inlineStr">
        <is>
          <t>+€250/мес OPEX</t>
        </is>
      </c>
      <c r="D12" s="5" t="n"/>
    </row>
    <row r="13">
      <c r="A13" s="3" t="inlineStr">
        <is>
          <t>Halal-канал даёт +30% объёма</t>
        </is>
      </c>
      <c r="B13" s="6" t="inlineStr">
        <is>
          <t>1.30</t>
        </is>
      </c>
      <c r="C13" s="5" t="inlineStr">
        <is>
          <t>Если активирован M3, не M6</t>
        </is>
      </c>
      <c r="D13" s="5" t="n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</cols>
  <sheetData>
    <row r="1" ht="26" customHeight="1">
      <c r="A1" s="11" t="inlineStr">
        <is>
          <t>СПИСОК ИСТОЧНИКОВ</t>
        </is>
      </c>
    </row>
    <row r="3">
      <c r="A3" s="2" t="inlineStr">
        <is>
          <t>Категория</t>
        </is>
      </c>
      <c r="B3" s="2" t="inlineStr">
        <is>
          <t>Источник</t>
        </is>
      </c>
      <c r="C3" s="2" t="inlineStr">
        <is>
          <t>URL / Контакт</t>
        </is>
      </c>
    </row>
    <row r="4">
      <c r="A4" s="5" t="inlineStr">
        <is>
          <t>Регулирование</t>
        </is>
      </c>
      <c r="B4" s="5" t="inlineStr">
        <is>
          <t>BOE-A-2025-3950 (IVA 4% на лаваш)</t>
        </is>
      </c>
      <c r="C4" s="30" t="inlineStr">
        <is>
          <t>https://www.boe.es/buscar/doc.php?id=BOE-A-2025-3950</t>
        </is>
      </c>
    </row>
    <row r="5">
      <c r="A5" s="5" t="inlineStr">
        <is>
          <t>Регулирование</t>
        </is>
      </c>
      <c r="B5" s="5" t="inlineStr">
        <is>
          <t>BOE-A-2026-3815 (SMI 2026)</t>
        </is>
      </c>
      <c r="C5" s="30" t="inlineStr">
        <is>
          <t>https://www.boe.es</t>
        </is>
      </c>
    </row>
    <row r="6">
      <c r="A6" s="5" t="inlineStr">
        <is>
          <t>Регулирование</t>
        </is>
      </c>
      <c r="B6" s="5" t="inlineStr">
        <is>
          <t>Real Decreto 308/2019 (clasificación pan)</t>
        </is>
      </c>
      <c r="C6" s="30" t="inlineStr">
        <is>
          <t>https://www.boe.es</t>
        </is>
      </c>
    </row>
    <row r="7">
      <c r="A7" s="5" t="inlineStr">
        <is>
          <t>Регулирование</t>
        </is>
      </c>
      <c r="B7" s="5" t="inlineStr">
        <is>
          <t>Reglamento UE 1169/2011 (этикетка)</t>
        </is>
      </c>
      <c r="C7" s="30" t="inlineStr">
        <is>
          <t>https://eur-lex.europa.eu</t>
        </is>
      </c>
    </row>
    <row r="8">
      <c r="A8" s="5" t="inlineStr">
        <is>
          <t>Регулирование</t>
        </is>
      </c>
      <c r="B8" s="5" t="inlineStr">
        <is>
          <t>Gencat Salut Pública (RSIPAC)</t>
        </is>
      </c>
      <c r="C8" s="30" t="inlineStr">
        <is>
          <t>https://salutpublica.gencat.cat</t>
        </is>
      </c>
    </row>
    <row r="9">
      <c r="A9" s="5" t="inlineStr">
        <is>
          <t>Регулирование</t>
        </is>
      </c>
      <c r="B9" s="5" t="inlineStr">
        <is>
          <t>AESAN (RGSEAA)</t>
        </is>
      </c>
      <c r="C9" s="30" t="inlineStr">
        <is>
          <t>https://www.aesan.gob.es</t>
        </is>
      </c>
    </row>
    <row r="10">
      <c r="A10" s="5" t="inlineStr">
        <is>
          <t>Энергия</t>
        </is>
      </c>
      <c r="B10" s="5" t="inlineStr">
        <is>
          <t>Roams Energía (PYME tariffs)</t>
        </is>
      </c>
      <c r="C10" s="30" t="inlineStr">
        <is>
          <t>https://roams.es/energia/luz/tarifas-luz-empresas/</t>
        </is>
      </c>
    </row>
    <row r="11">
      <c r="A11" s="5" t="inlineStr">
        <is>
          <t>Энергия</t>
        </is>
      </c>
      <c r="B11" s="5" t="inlineStr">
        <is>
          <t>TarifaLuzHora (PVPC)</t>
        </is>
      </c>
      <c r="C11" s="30" t="inlineStr">
        <is>
          <t>https://tarifaluzhora.es</t>
        </is>
      </c>
    </row>
    <row r="12">
      <c r="A12" s="5" t="inlineStr">
        <is>
          <t>Энергия</t>
        </is>
      </c>
      <c r="B12" s="5" t="inlineStr">
        <is>
          <t>Eni Plenitude (gas TUR)</t>
        </is>
      </c>
      <c r="C12" s="30" t="inlineStr">
        <is>
          <t>https://eniplenitude.es/blog/energia/precio-gas-natural-kwh/</t>
        </is>
      </c>
    </row>
    <row r="13">
      <c r="A13" s="5" t="inlineStr">
        <is>
          <t>Энергия</t>
        </is>
      </c>
      <c r="B13" s="5" t="inlineStr">
        <is>
          <t>Maeswell обrador baseline</t>
        </is>
      </c>
      <c r="C13" s="30" t="inlineStr">
        <is>
          <t>https://app.maeswell.com</t>
        </is>
      </c>
    </row>
    <row r="14">
      <c r="A14" s="5" t="inlineStr">
        <is>
          <t>Сырьё</t>
        </is>
      </c>
      <c r="B14" s="5" t="inlineStr">
        <is>
          <t>B-Grup Distribuciones (мука)</t>
        </is>
      </c>
      <c r="C14" s="30" t="inlineStr">
        <is>
          <t>https://www.bgrup.es</t>
        </is>
      </c>
    </row>
    <row r="15">
      <c r="A15" s="5" t="inlineStr">
        <is>
          <t>Сырьё</t>
        </is>
      </c>
      <c r="B15" s="5" t="inlineStr">
        <is>
          <t>José Llopart (мука)</t>
        </is>
      </c>
      <c r="C15" s="30" t="inlineStr">
        <is>
          <t>http://www.josellopart.com</t>
        </is>
      </c>
    </row>
    <row r="16">
      <c r="A16" s="5" t="inlineStr">
        <is>
          <t>Сырьё</t>
        </is>
      </c>
      <c r="B16" s="5" t="inlineStr">
        <is>
          <t>Tienda Duo Harinero (rétail check)</t>
        </is>
      </c>
      <c r="C16" s="30" t="inlineStr">
        <is>
          <t>https://tienda-duoharinero.com</t>
        </is>
      </c>
    </row>
    <row r="17">
      <c r="A17" s="5" t="inlineStr">
        <is>
          <t>Сырьё</t>
        </is>
      </c>
      <c r="B17" s="5" t="inlineStr">
        <is>
          <t>Selina Wamucii (мука Испания)</t>
        </is>
      </c>
      <c r="C17" s="30" t="inlineStr">
        <is>
          <t>https://www.selinawamucii.com/insights/prices/spain/wheat-flour/</t>
        </is>
      </c>
    </row>
    <row r="18">
      <c r="A18" s="5" t="inlineStr">
        <is>
          <t>Сертификации</t>
        </is>
      </c>
      <c r="B18" s="5" t="inlineStr">
        <is>
          <t>Ambialia (HACCP)</t>
        </is>
      </c>
      <c r="C18" s="30" t="inlineStr">
        <is>
          <t>https://www.ambialia.es</t>
        </is>
      </c>
    </row>
    <row r="19">
      <c r="A19" s="5" t="inlineStr">
        <is>
          <t>Сертификации</t>
        </is>
      </c>
      <c r="B19" s="5" t="inlineStr">
        <is>
          <t>Instituto Halal</t>
        </is>
      </c>
      <c r="C19" s="30" t="inlineStr">
        <is>
          <t>https://institutohalal.com</t>
        </is>
      </c>
    </row>
    <row r="20">
      <c r="A20" s="5" t="inlineStr">
        <is>
          <t>Сертификации</t>
        </is>
      </c>
      <c r="B20" s="5" t="inlineStr">
        <is>
          <t>GS1 Spain (EAN)</t>
        </is>
      </c>
      <c r="C20" s="30" t="inlineStr">
        <is>
          <t>https://www.gs1es.org</t>
        </is>
      </c>
    </row>
    <row r="21">
      <c r="A21" s="5" t="inlineStr">
        <is>
          <t>Юр</t>
        </is>
      </c>
      <c r="B21" s="5" t="inlineStr">
        <is>
          <t>Notariado de España</t>
        </is>
      </c>
      <c r="C21" s="30" t="inlineStr">
        <is>
          <t>https://www.notariado.org</t>
        </is>
      </c>
    </row>
    <row r="22">
      <c r="A22" s="5" t="inlineStr">
        <is>
          <t>Налоги</t>
        </is>
      </c>
      <c r="B22" s="5" t="inlineStr">
        <is>
          <t>Seguridad Social</t>
        </is>
      </c>
      <c r="C22" s="30" t="inlineStr">
        <is>
          <t>https://www.seg-social.es</t>
        </is>
      </c>
    </row>
    <row r="23">
      <c r="A23" s="5" t="inlineStr">
        <is>
          <t>Налоги</t>
        </is>
      </c>
      <c r="B23" s="5" t="inlineStr">
        <is>
          <t>Infoautónomos</t>
        </is>
      </c>
      <c r="C23" s="30" t="inlineStr">
        <is>
          <t>https://www.infoautonomos.com</t>
        </is>
      </c>
    </row>
    <row r="24">
      <c r="A24" s="5" t="inlineStr">
        <is>
          <t>Рынок</t>
        </is>
      </c>
      <c r="B24" s="5" t="inlineStr">
        <is>
          <t>Asemac (industria panaderia)</t>
        </is>
      </c>
      <c r="C24" s="30" t="inlineStr">
        <is>
          <t>https://www.asemac.es</t>
        </is>
      </c>
    </row>
    <row r="25">
      <c r="A25" s="5" t="inlineStr">
        <is>
          <t>Рынок</t>
        </is>
      </c>
      <c r="B25" s="5" t="inlineStr">
        <is>
          <t>Idescat (демография Каталония)</t>
        </is>
      </c>
      <c r="C25" s="30" t="inlineStr">
        <is>
          <t>https://www.idescat.cat</t>
        </is>
      </c>
    </row>
    <row r="26">
      <c r="A26" s="5" t="inlineStr">
        <is>
          <t>Рынок</t>
        </is>
      </c>
      <c r="B26" s="5" t="inlineStr">
        <is>
          <t>Deep Market Insights (frozen bakery)</t>
        </is>
      </c>
      <c r="C26" s="30" t="inlineStr">
        <is>
          <t>https://deepmarketinsights.com/vista/insights/frozen-bakery-product-market/spain</t>
        </is>
      </c>
    </row>
    <row r="27">
      <c r="A27" s="5" t="inlineStr">
        <is>
          <t>Конкуренты</t>
        </is>
      </c>
      <c r="B27" s="5" t="inlineStr">
        <is>
          <t>Don Pan 3000 (Empresite)</t>
        </is>
      </c>
      <c r="C27" s="30" t="inlineStr">
        <is>
          <t>https://www.empresite.eleconomista.es</t>
        </is>
      </c>
    </row>
    <row r="28">
      <c r="A28" s="5" t="inlineStr">
        <is>
          <t>Конкуренты</t>
        </is>
      </c>
      <c r="B28" s="5" t="inlineStr">
        <is>
          <t>Libanofoods</t>
        </is>
      </c>
      <c r="C28" s="30" t="inlineStr">
        <is>
          <t>https://libanofoods.com</t>
        </is>
      </c>
    </row>
    <row r="29">
      <c r="A29" s="5" t="inlineStr">
        <is>
          <t>Конкуренты</t>
        </is>
      </c>
      <c r="B29" s="5" t="inlineStr">
        <is>
          <t>Europastry</t>
        </is>
      </c>
      <c r="C29" s="30" t="inlineStr">
        <is>
          <t>https://www.europastry.com</t>
        </is>
      </c>
    </row>
    <row r="30">
      <c r="A30" s="5" t="inlineStr">
        <is>
          <t>Каналы</t>
        </is>
      </c>
      <c r="B30" s="5" t="inlineStr">
        <is>
          <t>Bonpreu (KM0)</t>
        </is>
      </c>
      <c r="C30" s="30" t="inlineStr">
        <is>
          <t>https://www.bonpreuesclat.cat</t>
        </is>
      </c>
    </row>
    <row r="31">
      <c r="A31" s="5" t="inlineStr">
        <is>
          <t>Каналы</t>
        </is>
      </c>
      <c r="B31" s="5" t="inlineStr">
        <is>
          <t>Valvi/Spar Catalunya</t>
        </is>
      </c>
      <c r="C31" s="30" t="inlineStr">
        <is>
          <t>http://www.valvi.cat</t>
        </is>
      </c>
    </row>
    <row r="32">
      <c r="A32" s="5" t="inlineStr">
        <is>
          <t>Каналы</t>
        </is>
      </c>
      <c r="B32" s="5" t="inlineStr">
        <is>
          <t>Glovo Partners</t>
        </is>
      </c>
      <c r="C32" s="30" t="inlineStr">
        <is>
          <t>https://partners.glovoapp.com</t>
        </is>
      </c>
    </row>
    <row r="33">
      <c r="A33" s="5" t="inlineStr">
        <is>
          <t>Каналы</t>
        </is>
      </c>
      <c r="B33" s="5" t="inlineStr">
        <is>
          <t>Uber Eats Merchants</t>
        </is>
      </c>
      <c r="C33" s="30" t="inlineStr">
        <is>
          <t>https://merchants.ubereats.com</t>
        </is>
      </c>
    </row>
    <row r="34">
      <c r="A34" s="5" t="inlineStr">
        <is>
          <t>Каналы</t>
        </is>
      </c>
      <c r="B34" s="5" t="inlineStr">
        <is>
          <t>Just Eat для бизнеса</t>
        </is>
      </c>
      <c r="C34" s="30" t="inlineStr">
        <is>
          <t>https://restaurantes.just-eat.es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2026-05-29T08:11:10Z</dcterms:created>
  <dcterms:modified xmlns:dcterms="http://purl.org/dc/terms/" xmlns:xsi="http://www.w3.org/2001/XMLSchema-instance" xsi:type="dcterms:W3CDTF">2026-05-29T08:11:10Z</dcterms:modified>
</cp:coreProperties>
</file>